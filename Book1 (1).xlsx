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90" windowWidth="19000" windowHeight="7200" activeTab="2"/>
  </bookViews>
  <sheets>
    <sheet name="Jan-Dec 26" sheetId="1" r:id="rId1"/>
    <sheet name="Weekly 2026" sheetId="2" r:id="rId2"/>
    <sheet name="Monthly Sale 2026" sheetId="3" r:id="rId3"/>
  </sheets>
  <calcPr calcId="125725"/>
</workbook>
</file>

<file path=xl/calcChain.xml><?xml version="1.0" encoding="utf-8"?>
<calcChain xmlns="http://schemas.openxmlformats.org/spreadsheetml/2006/main">
  <c r="AM71" i="1"/>
  <c r="AL71"/>
  <c r="AI71"/>
  <c r="AJ71" s="1"/>
  <c r="AF71"/>
  <c r="AD71"/>
  <c r="AC71"/>
  <c r="AB71"/>
  <c r="Z71"/>
  <c r="Y71"/>
  <c r="X71"/>
  <c r="W71"/>
  <c r="V71"/>
  <c r="U71"/>
  <c r="S71"/>
  <c r="R71"/>
  <c r="Q71"/>
  <c r="P71"/>
  <c r="O71"/>
  <c r="M71"/>
  <c r="L71"/>
  <c r="K71"/>
  <c r="J71"/>
  <c r="D71"/>
  <c r="C71"/>
  <c r="AJ69"/>
  <c r="AH69"/>
  <c r="AG69"/>
  <c r="AE69"/>
  <c r="AK69" s="1"/>
  <c r="AD69"/>
  <c r="AA69"/>
  <c r="T69"/>
  <c r="N69"/>
  <c r="I69"/>
  <c r="H69"/>
  <c r="G69"/>
  <c r="F69"/>
  <c r="E69"/>
  <c r="AG68"/>
  <c r="AH68" s="1"/>
  <c r="AE68"/>
  <c r="AD68"/>
  <c r="AA68"/>
  <c r="T68"/>
  <c r="N68"/>
  <c r="I68"/>
  <c r="H68" s="1"/>
  <c r="G68"/>
  <c r="AJ68" s="1"/>
  <c r="F68"/>
  <c r="AJ67"/>
  <c r="AG67"/>
  <c r="AH67" s="1"/>
  <c r="AD67"/>
  <c r="AE67" s="1"/>
  <c r="AA67"/>
  <c r="T67"/>
  <c r="N67"/>
  <c r="I67"/>
  <c r="H67" s="1"/>
  <c r="G67"/>
  <c r="F67"/>
  <c r="E67"/>
  <c r="AH66"/>
  <c r="AG66"/>
  <c r="AD66"/>
  <c r="AE66" s="1"/>
  <c r="AA66"/>
  <c r="T66"/>
  <c r="N66"/>
  <c r="I66"/>
  <c r="H66"/>
  <c r="G66"/>
  <c r="E66" s="1"/>
  <c r="F66"/>
  <c r="AJ65"/>
  <c r="AH65"/>
  <c r="AG65"/>
  <c r="AE65"/>
  <c r="AK65" s="1"/>
  <c r="AD65"/>
  <c r="AA65"/>
  <c r="T65"/>
  <c r="N65"/>
  <c r="I65"/>
  <c r="H65"/>
  <c r="G65"/>
  <c r="F65"/>
  <c r="E65"/>
  <c r="AJ64"/>
  <c r="AG64"/>
  <c r="AH64" s="1"/>
  <c r="AK64" s="1"/>
  <c r="AD64"/>
  <c r="AA64"/>
  <c r="T64"/>
  <c r="N64"/>
  <c r="I64"/>
  <c r="H64"/>
  <c r="G64"/>
  <c r="F64"/>
  <c r="E64"/>
  <c r="AJ63"/>
  <c r="AH63"/>
  <c r="AG63"/>
  <c r="AE63"/>
  <c r="AK63" s="1"/>
  <c r="AD63"/>
  <c r="AA63"/>
  <c r="T63"/>
  <c r="N63"/>
  <c r="I63"/>
  <c r="H63" s="1"/>
  <c r="G63"/>
  <c r="F63"/>
  <c r="E63"/>
  <c r="AG62"/>
  <c r="AH62" s="1"/>
  <c r="AD62"/>
  <c r="AA62"/>
  <c r="T62"/>
  <c r="N62"/>
  <c r="I62"/>
  <c r="H62" s="1"/>
  <c r="G62"/>
  <c r="AJ62" s="1"/>
  <c r="F62"/>
  <c r="AG61"/>
  <c r="AH61" s="1"/>
  <c r="AD61"/>
  <c r="AE61" s="1"/>
  <c r="AA61"/>
  <c r="T61"/>
  <c r="N61"/>
  <c r="I61"/>
  <c r="H61"/>
  <c r="G61"/>
  <c r="AJ61" s="1"/>
  <c r="F61"/>
  <c r="E61"/>
  <c r="AH60"/>
  <c r="AG60"/>
  <c r="AG71" s="1"/>
  <c r="AH71" s="1"/>
  <c r="AD60"/>
  <c r="AE60" s="1"/>
  <c r="AK60" s="1"/>
  <c r="AA60"/>
  <c r="T60"/>
  <c r="N60"/>
  <c r="N71" s="1"/>
  <c r="I60"/>
  <c r="H60"/>
  <c r="G60"/>
  <c r="AJ60" s="1"/>
  <c r="F60"/>
  <c r="E60"/>
  <c r="AJ59"/>
  <c r="AH59"/>
  <c r="AG59"/>
  <c r="AD59"/>
  <c r="AE59" s="1"/>
  <c r="AA59"/>
  <c r="AA71" s="1"/>
  <c r="T59"/>
  <c r="T71" s="1"/>
  <c r="N59"/>
  <c r="I59"/>
  <c r="I71" s="1"/>
  <c r="G59"/>
  <c r="G71" s="1"/>
  <c r="E71" s="1"/>
  <c r="F59"/>
  <c r="F71" s="1"/>
  <c r="E59"/>
  <c r="AG58"/>
  <c r="AH58" s="1"/>
  <c r="AD58"/>
  <c r="AA58"/>
  <c r="T58"/>
  <c r="N58"/>
  <c r="I58"/>
  <c r="H58" s="1"/>
  <c r="G58"/>
  <c r="AJ58" s="1"/>
  <c r="F58"/>
  <c r="AM53"/>
  <c r="AL53"/>
  <c r="AI53"/>
  <c r="AF53"/>
  <c r="AC53"/>
  <c r="AB53"/>
  <c r="Z53"/>
  <c r="Y53"/>
  <c r="X53"/>
  <c r="W53"/>
  <c r="V53"/>
  <c r="U53"/>
  <c r="S53"/>
  <c r="R53"/>
  <c r="Q53"/>
  <c r="P53"/>
  <c r="O53"/>
  <c r="M53"/>
  <c r="L53"/>
  <c r="AD53" s="1"/>
  <c r="K53"/>
  <c r="J53"/>
  <c r="D53"/>
  <c r="C53"/>
  <c r="AJ51"/>
  <c r="AH51"/>
  <c r="AG51"/>
  <c r="AD51"/>
  <c r="AE51" s="1"/>
  <c r="AK51" s="1"/>
  <c r="AA51"/>
  <c r="T51"/>
  <c r="N51"/>
  <c r="I51"/>
  <c r="H51" s="1"/>
  <c r="G51"/>
  <c r="F51"/>
  <c r="E51"/>
  <c r="AG50"/>
  <c r="AH50" s="1"/>
  <c r="AD50"/>
  <c r="AA50"/>
  <c r="T50"/>
  <c r="N50"/>
  <c r="I50"/>
  <c r="H50" s="1"/>
  <c r="G50"/>
  <c r="AE50" s="1"/>
  <c r="F50"/>
  <c r="AG49"/>
  <c r="AD49"/>
  <c r="AE49" s="1"/>
  <c r="AA49"/>
  <c r="T49"/>
  <c r="N49"/>
  <c r="I49"/>
  <c r="H49"/>
  <c r="G49"/>
  <c r="E49" s="1"/>
  <c r="F49"/>
  <c r="AG48"/>
  <c r="AH48" s="1"/>
  <c r="AE48"/>
  <c r="AD48"/>
  <c r="AA48"/>
  <c r="T48"/>
  <c r="N48"/>
  <c r="I48"/>
  <c r="H48" s="1"/>
  <c r="G48"/>
  <c r="AJ48" s="1"/>
  <c r="F48"/>
  <c r="E48"/>
  <c r="AJ47"/>
  <c r="AH47"/>
  <c r="AG47"/>
  <c r="AD47"/>
  <c r="AE47" s="1"/>
  <c r="AK47" s="1"/>
  <c r="AA47"/>
  <c r="T47"/>
  <c r="N47"/>
  <c r="I47"/>
  <c r="H47" s="1"/>
  <c r="G47"/>
  <c r="F47"/>
  <c r="E47"/>
  <c r="AJ46"/>
  <c r="AG46"/>
  <c r="AH46" s="1"/>
  <c r="AK46" s="1"/>
  <c r="AD46"/>
  <c r="AA46"/>
  <c r="T46"/>
  <c r="N46"/>
  <c r="I46"/>
  <c r="H46" s="1"/>
  <c r="G46"/>
  <c r="E46" s="1"/>
  <c r="F46"/>
  <c r="AG45"/>
  <c r="AH45" s="1"/>
  <c r="AD45"/>
  <c r="AA45"/>
  <c r="T45"/>
  <c r="N45"/>
  <c r="I45"/>
  <c r="H45"/>
  <c r="G45"/>
  <c r="E45" s="1"/>
  <c r="F45"/>
  <c r="AJ44"/>
  <c r="AG44"/>
  <c r="AH44" s="1"/>
  <c r="AD44"/>
  <c r="AE44" s="1"/>
  <c r="AA44"/>
  <c r="T44"/>
  <c r="N44"/>
  <c r="I44"/>
  <c r="H44" s="1"/>
  <c r="G44"/>
  <c r="F44"/>
  <c r="E44"/>
  <c r="AJ43"/>
  <c r="AH43"/>
  <c r="AG43"/>
  <c r="AD43"/>
  <c r="AE43" s="1"/>
  <c r="AK43" s="1"/>
  <c r="AA43"/>
  <c r="T43"/>
  <c r="T53" s="1"/>
  <c r="N43"/>
  <c r="I43"/>
  <c r="H43"/>
  <c r="G43"/>
  <c r="E43" s="1"/>
  <c r="F43"/>
  <c r="AJ42"/>
  <c r="AH42"/>
  <c r="AG42"/>
  <c r="AD42"/>
  <c r="AA42"/>
  <c r="T42"/>
  <c r="N42"/>
  <c r="I42"/>
  <c r="I53" s="1"/>
  <c r="G42"/>
  <c r="E42" s="1"/>
  <c r="F42"/>
  <c r="AG41"/>
  <c r="AG53" s="1"/>
  <c r="AD41"/>
  <c r="AA41"/>
  <c r="AA53" s="1"/>
  <c r="T41"/>
  <c r="N41"/>
  <c r="N53" s="1"/>
  <c r="I41"/>
  <c r="H41"/>
  <c r="G41"/>
  <c r="E41" s="1"/>
  <c r="F41"/>
  <c r="F53" s="1"/>
  <c r="AJ40"/>
  <c r="AG40"/>
  <c r="AH40" s="1"/>
  <c r="AD40"/>
  <c r="AE40" s="1"/>
  <c r="AA40"/>
  <c r="T40"/>
  <c r="N40"/>
  <c r="I40"/>
  <c r="H40" s="1"/>
  <c r="G40"/>
  <c r="F40"/>
  <c r="E40"/>
  <c r="AM35"/>
  <c r="AL35"/>
  <c r="AI35"/>
  <c r="AF35"/>
  <c r="AD35"/>
  <c r="AC35"/>
  <c r="AB35"/>
  <c r="Z35"/>
  <c r="Y35"/>
  <c r="X35"/>
  <c r="W35"/>
  <c r="V35"/>
  <c r="U35"/>
  <c r="S35"/>
  <c r="R35"/>
  <c r="Q35"/>
  <c r="P35"/>
  <c r="O35"/>
  <c r="M35"/>
  <c r="L35"/>
  <c r="K35"/>
  <c r="J35"/>
  <c r="D35"/>
  <c r="C35"/>
  <c r="AG33"/>
  <c r="AH33" s="1"/>
  <c r="AD33"/>
  <c r="AA33"/>
  <c r="T33"/>
  <c r="N33"/>
  <c r="I33"/>
  <c r="H33"/>
  <c r="G33"/>
  <c r="AJ33" s="1"/>
  <c r="F33"/>
  <c r="AJ32"/>
  <c r="AG32"/>
  <c r="AH32" s="1"/>
  <c r="AD32"/>
  <c r="AE32" s="1"/>
  <c r="AA32"/>
  <c r="T32"/>
  <c r="N32"/>
  <c r="I32"/>
  <c r="H32" s="1"/>
  <c r="G32"/>
  <c r="F32"/>
  <c r="E32"/>
  <c r="AJ31"/>
  <c r="AH31"/>
  <c r="AG31"/>
  <c r="AD31"/>
  <c r="AE31" s="1"/>
  <c r="AK31" s="1"/>
  <c r="AA31"/>
  <c r="T31"/>
  <c r="T103" s="1"/>
  <c r="N31"/>
  <c r="I31"/>
  <c r="H31" s="1"/>
  <c r="G31"/>
  <c r="E31" s="1"/>
  <c r="F31"/>
  <c r="AJ30"/>
  <c r="AH30"/>
  <c r="AG30"/>
  <c r="AD30"/>
  <c r="AA30"/>
  <c r="T30"/>
  <c r="N30"/>
  <c r="I30"/>
  <c r="H30" s="1"/>
  <c r="G30"/>
  <c r="E30" s="1"/>
  <c r="F30"/>
  <c r="AG29"/>
  <c r="AH29" s="1"/>
  <c r="AD29"/>
  <c r="AA29"/>
  <c r="T29"/>
  <c r="N29"/>
  <c r="I29"/>
  <c r="H29" s="1"/>
  <c r="G29"/>
  <c r="AJ29" s="1"/>
  <c r="F29"/>
  <c r="AJ28"/>
  <c r="AG28"/>
  <c r="AH28" s="1"/>
  <c r="AK28" s="1"/>
  <c r="AD28"/>
  <c r="AA28"/>
  <c r="T28"/>
  <c r="N28"/>
  <c r="I28"/>
  <c r="H28" s="1"/>
  <c r="G28"/>
  <c r="F28"/>
  <c r="E28"/>
  <c r="AJ27"/>
  <c r="AH27"/>
  <c r="AG27"/>
  <c r="AD27"/>
  <c r="AA27"/>
  <c r="T27"/>
  <c r="N27"/>
  <c r="I27"/>
  <c r="H27" s="1"/>
  <c r="G27"/>
  <c r="E27" s="1"/>
  <c r="F27"/>
  <c r="AH26"/>
  <c r="AG26"/>
  <c r="AD26"/>
  <c r="AA26"/>
  <c r="T26"/>
  <c r="N26"/>
  <c r="I26"/>
  <c r="H26"/>
  <c r="G26"/>
  <c r="AJ26" s="1"/>
  <c r="F26"/>
  <c r="AG25"/>
  <c r="AH25" s="1"/>
  <c r="AE25"/>
  <c r="AD25"/>
  <c r="AA25"/>
  <c r="T25"/>
  <c r="T97" s="1"/>
  <c r="N25"/>
  <c r="I25"/>
  <c r="H25"/>
  <c r="G25"/>
  <c r="AJ25" s="1"/>
  <c r="F25"/>
  <c r="F35" s="1"/>
  <c r="E25"/>
  <c r="AJ24"/>
  <c r="AG24"/>
  <c r="AH24" s="1"/>
  <c r="AD24"/>
  <c r="AE24" s="1"/>
  <c r="AK24" s="1"/>
  <c r="AA24"/>
  <c r="T24"/>
  <c r="N24"/>
  <c r="I24"/>
  <c r="H24" s="1"/>
  <c r="G24"/>
  <c r="E24" s="1"/>
  <c r="F24"/>
  <c r="AJ23"/>
  <c r="AH23"/>
  <c r="AG23"/>
  <c r="AG35" s="1"/>
  <c r="AD23"/>
  <c r="AE23" s="1"/>
  <c r="AA23"/>
  <c r="AA35" s="1"/>
  <c r="T23"/>
  <c r="T35" s="1"/>
  <c r="N23"/>
  <c r="N35" s="1"/>
  <c r="I23"/>
  <c r="I35" s="1"/>
  <c r="G23"/>
  <c r="E23" s="1"/>
  <c r="F23"/>
  <c r="AH22"/>
  <c r="AG22"/>
  <c r="AD22"/>
  <c r="AA22"/>
  <c r="T22"/>
  <c r="N22"/>
  <c r="I22"/>
  <c r="H22"/>
  <c r="G22"/>
  <c r="AJ22" s="1"/>
  <c r="F22"/>
  <c r="AN103"/>
  <c r="AM103"/>
  <c r="AL103"/>
  <c r="AI103"/>
  <c r="AF103"/>
  <c r="AG103" s="1"/>
  <c r="Z103"/>
  <c r="Y103"/>
  <c r="X103"/>
  <c r="S103"/>
  <c r="R103"/>
  <c r="Q103"/>
  <c r="M103"/>
  <c r="L103"/>
  <c r="K103"/>
  <c r="J103"/>
  <c r="D103"/>
  <c r="C103"/>
  <c r="F103" s="1"/>
  <c r="AN94"/>
  <c r="AM94"/>
  <c r="AL94"/>
  <c r="AI94"/>
  <c r="AF94"/>
  <c r="AG94" s="1"/>
  <c r="Z94"/>
  <c r="Y94"/>
  <c r="X94"/>
  <c r="T94"/>
  <c r="S94"/>
  <c r="R94"/>
  <c r="Q94"/>
  <c r="M94"/>
  <c r="L94"/>
  <c r="K94"/>
  <c r="J94"/>
  <c r="D94"/>
  <c r="C94"/>
  <c r="AN13"/>
  <c r="AG13"/>
  <c r="AD13"/>
  <c r="AA13"/>
  <c r="T13"/>
  <c r="N13"/>
  <c r="I13"/>
  <c r="H13" s="1"/>
  <c r="G13"/>
  <c r="AJ13" s="1"/>
  <c r="F13"/>
  <c r="AN4"/>
  <c r="AG4"/>
  <c r="AD4"/>
  <c r="AA4"/>
  <c r="T4"/>
  <c r="N4"/>
  <c r="I4"/>
  <c r="H4" s="1"/>
  <c r="G4"/>
  <c r="E4" s="1"/>
  <c r="F4"/>
  <c r="J207" i="3"/>
  <c r="H207"/>
  <c r="I207" s="1"/>
  <c r="G207"/>
  <c r="D207"/>
  <c r="C207"/>
  <c r="E207" s="1"/>
  <c r="F207" s="1"/>
  <c r="K206"/>
  <c r="L206" s="1"/>
  <c r="J206"/>
  <c r="I206"/>
  <c r="H206"/>
  <c r="G206"/>
  <c r="D206"/>
  <c r="C206"/>
  <c r="E206" s="1"/>
  <c r="F206" s="1"/>
  <c r="J205"/>
  <c r="H205"/>
  <c r="G205"/>
  <c r="F205"/>
  <c r="E205"/>
  <c r="D205"/>
  <c r="I205" s="1"/>
  <c r="M205" s="1"/>
  <c r="C205"/>
  <c r="J202"/>
  <c r="H202"/>
  <c r="G202"/>
  <c r="D202"/>
  <c r="I202" s="1"/>
  <c r="C202"/>
  <c r="E202" s="1"/>
  <c r="F202" s="1"/>
  <c r="J201"/>
  <c r="H201"/>
  <c r="I201" s="1"/>
  <c r="M201" s="1"/>
  <c r="G201"/>
  <c r="F201"/>
  <c r="E201"/>
  <c r="D201"/>
  <c r="C201"/>
  <c r="J200"/>
  <c r="I200"/>
  <c r="M200" s="1"/>
  <c r="H200"/>
  <c r="G200"/>
  <c r="E200"/>
  <c r="F200" s="1"/>
  <c r="D200"/>
  <c r="C200"/>
  <c r="J199"/>
  <c r="H199"/>
  <c r="I199" s="1"/>
  <c r="G199"/>
  <c r="E199"/>
  <c r="F199" s="1"/>
  <c r="D199"/>
  <c r="C199"/>
  <c r="J198"/>
  <c r="H198"/>
  <c r="I198" s="1"/>
  <c r="G198"/>
  <c r="G204" s="1"/>
  <c r="G208" s="1"/>
  <c r="D198"/>
  <c r="C198"/>
  <c r="E198" s="1"/>
  <c r="F198" s="1"/>
  <c r="J197"/>
  <c r="I197"/>
  <c r="H197"/>
  <c r="G197"/>
  <c r="D197"/>
  <c r="C197"/>
  <c r="E197" s="1"/>
  <c r="F197" s="1"/>
  <c r="J196"/>
  <c r="J204" s="1"/>
  <c r="H196"/>
  <c r="G196"/>
  <c r="F196"/>
  <c r="E196"/>
  <c r="D196"/>
  <c r="D204" s="1"/>
  <c r="D208" s="1"/>
  <c r="C196"/>
  <c r="C204" s="1"/>
  <c r="H192"/>
  <c r="G192"/>
  <c r="L191"/>
  <c r="K191"/>
  <c r="I191"/>
  <c r="N191" s="1"/>
  <c r="E191"/>
  <c r="F191" s="1"/>
  <c r="K190"/>
  <c r="L190" s="1"/>
  <c r="I190"/>
  <c r="N190" s="1"/>
  <c r="F190"/>
  <c r="E190"/>
  <c r="K189"/>
  <c r="L189" s="1"/>
  <c r="N189" s="1"/>
  <c r="I189"/>
  <c r="E189"/>
  <c r="F189" s="1"/>
  <c r="J188"/>
  <c r="J192" s="1"/>
  <c r="K192" s="1"/>
  <c r="H188"/>
  <c r="G188"/>
  <c r="F188"/>
  <c r="E188"/>
  <c r="D188"/>
  <c r="D192" s="1"/>
  <c r="I192" s="1"/>
  <c r="C188"/>
  <c r="C192" s="1"/>
  <c r="L186"/>
  <c r="N186" s="1"/>
  <c r="K186"/>
  <c r="I186"/>
  <c r="F186"/>
  <c r="E186"/>
  <c r="K185"/>
  <c r="L185" s="1"/>
  <c r="N185" s="1"/>
  <c r="I185"/>
  <c r="E185"/>
  <c r="F185" s="1"/>
  <c r="N184"/>
  <c r="L184"/>
  <c r="K184"/>
  <c r="I184"/>
  <c r="E184"/>
  <c r="F184" s="1"/>
  <c r="K183"/>
  <c r="L183" s="1"/>
  <c r="I183"/>
  <c r="N183" s="1"/>
  <c r="F183"/>
  <c r="E183"/>
  <c r="L182"/>
  <c r="N182" s="1"/>
  <c r="K182"/>
  <c r="I182"/>
  <c r="F182"/>
  <c r="E182"/>
  <c r="K181"/>
  <c r="L181" s="1"/>
  <c r="N181" s="1"/>
  <c r="I181"/>
  <c r="E181"/>
  <c r="F181" s="1"/>
  <c r="N180"/>
  <c r="L180"/>
  <c r="K180"/>
  <c r="I180"/>
  <c r="E180"/>
  <c r="F180" s="1"/>
  <c r="K176"/>
  <c r="L176" s="1"/>
  <c r="J176"/>
  <c r="C176"/>
  <c r="E176" s="1"/>
  <c r="F176" s="1"/>
  <c r="N175"/>
  <c r="L175"/>
  <c r="K175"/>
  <c r="I175"/>
  <c r="F175"/>
  <c r="E175"/>
  <c r="L174"/>
  <c r="K174"/>
  <c r="I174"/>
  <c r="N174" s="1"/>
  <c r="E174"/>
  <c r="F174" s="1"/>
  <c r="K173"/>
  <c r="L173" s="1"/>
  <c r="I173"/>
  <c r="F173"/>
  <c r="E173"/>
  <c r="K172"/>
  <c r="L172" s="1"/>
  <c r="J172"/>
  <c r="H172"/>
  <c r="I172" s="1"/>
  <c r="G172"/>
  <c r="G176" s="1"/>
  <c r="D172"/>
  <c r="D176" s="1"/>
  <c r="C172"/>
  <c r="E172" s="1"/>
  <c r="F172" s="1"/>
  <c r="K170"/>
  <c r="L170" s="1"/>
  <c r="I170"/>
  <c r="N170" s="1"/>
  <c r="F170"/>
  <c r="E170"/>
  <c r="N169"/>
  <c r="L169"/>
  <c r="K169"/>
  <c r="I169"/>
  <c r="F169"/>
  <c r="E169"/>
  <c r="K168"/>
  <c r="L168" s="1"/>
  <c r="I168"/>
  <c r="E168"/>
  <c r="F168" s="1"/>
  <c r="N167"/>
  <c r="L167"/>
  <c r="K167"/>
  <c r="I167"/>
  <c r="F167"/>
  <c r="E167"/>
  <c r="K166"/>
  <c r="L166" s="1"/>
  <c r="I166"/>
  <c r="F166"/>
  <c r="E166"/>
  <c r="N165"/>
  <c r="L165"/>
  <c r="K165"/>
  <c r="I165"/>
  <c r="F165"/>
  <c r="E165"/>
  <c r="K164"/>
  <c r="L164" s="1"/>
  <c r="I164"/>
  <c r="N164" s="1"/>
  <c r="E164"/>
  <c r="F164" s="1"/>
  <c r="E160"/>
  <c r="F160" s="1"/>
  <c r="D160"/>
  <c r="C160"/>
  <c r="L159"/>
  <c r="N159" s="1"/>
  <c r="K159"/>
  <c r="I159"/>
  <c r="E159"/>
  <c r="F159" s="1"/>
  <c r="N158"/>
  <c r="L158"/>
  <c r="K158"/>
  <c r="I158"/>
  <c r="F158"/>
  <c r="E158"/>
  <c r="L157"/>
  <c r="K157"/>
  <c r="I157"/>
  <c r="N157" s="1"/>
  <c r="E157"/>
  <c r="F157" s="1"/>
  <c r="J156"/>
  <c r="K156" s="1"/>
  <c r="L156" s="1"/>
  <c r="I156"/>
  <c r="H156"/>
  <c r="H160" s="1"/>
  <c r="I160" s="1"/>
  <c r="G156"/>
  <c r="G160" s="1"/>
  <c r="F156"/>
  <c r="E156"/>
  <c r="D156"/>
  <c r="C156"/>
  <c r="N154"/>
  <c r="L154"/>
  <c r="K154"/>
  <c r="I154"/>
  <c r="F154"/>
  <c r="E154"/>
  <c r="K153"/>
  <c r="L153" s="1"/>
  <c r="I153"/>
  <c r="F153"/>
  <c r="E153"/>
  <c r="N152"/>
  <c r="L152"/>
  <c r="K152"/>
  <c r="I152"/>
  <c r="F152"/>
  <c r="E152"/>
  <c r="K151"/>
  <c r="L151" s="1"/>
  <c r="I151"/>
  <c r="E151"/>
  <c r="F151" s="1"/>
  <c r="N150"/>
  <c r="L150"/>
  <c r="K150"/>
  <c r="I150"/>
  <c r="F150"/>
  <c r="E150"/>
  <c r="K149"/>
  <c r="L149" s="1"/>
  <c r="I149"/>
  <c r="F149"/>
  <c r="E149"/>
  <c r="N148"/>
  <c r="L148"/>
  <c r="K148"/>
  <c r="I148"/>
  <c r="F148"/>
  <c r="E148"/>
  <c r="K144"/>
  <c r="J144"/>
  <c r="G144"/>
  <c r="K143"/>
  <c r="L143" s="1"/>
  <c r="I143"/>
  <c r="F143"/>
  <c r="E143"/>
  <c r="L142"/>
  <c r="N142" s="1"/>
  <c r="K142"/>
  <c r="I142"/>
  <c r="E142"/>
  <c r="F142" s="1"/>
  <c r="N141"/>
  <c r="L141"/>
  <c r="K141"/>
  <c r="I141"/>
  <c r="F141"/>
  <c r="E141"/>
  <c r="K140"/>
  <c r="J140"/>
  <c r="H140"/>
  <c r="H144" s="1"/>
  <c r="G140"/>
  <c r="D140"/>
  <c r="D144" s="1"/>
  <c r="C140"/>
  <c r="E140" s="1"/>
  <c r="F140" s="1"/>
  <c r="K138"/>
  <c r="L138" s="1"/>
  <c r="I138"/>
  <c r="E138"/>
  <c r="F138" s="1"/>
  <c r="N137"/>
  <c r="L137"/>
  <c r="K137"/>
  <c r="I137"/>
  <c r="F137"/>
  <c r="E137"/>
  <c r="K136"/>
  <c r="L136" s="1"/>
  <c r="I136"/>
  <c r="F136"/>
  <c r="E136"/>
  <c r="N135"/>
  <c r="L135"/>
  <c r="K135"/>
  <c r="I135"/>
  <c r="F135"/>
  <c r="E135"/>
  <c r="K134"/>
  <c r="L134" s="1"/>
  <c r="I134"/>
  <c r="E134"/>
  <c r="F134" s="1"/>
  <c r="N133"/>
  <c r="L133"/>
  <c r="K133"/>
  <c r="I133"/>
  <c r="F133"/>
  <c r="E133"/>
  <c r="K132"/>
  <c r="L132" s="1"/>
  <c r="I132"/>
  <c r="F132"/>
  <c r="E132"/>
  <c r="I128"/>
  <c r="H128"/>
  <c r="G128"/>
  <c r="D128"/>
  <c r="L127"/>
  <c r="K127"/>
  <c r="I127"/>
  <c r="N127" s="1"/>
  <c r="E127"/>
  <c r="F127" s="1"/>
  <c r="K126"/>
  <c r="L126" s="1"/>
  <c r="I126"/>
  <c r="F126"/>
  <c r="E126"/>
  <c r="L125"/>
  <c r="N125" s="1"/>
  <c r="K125"/>
  <c r="I125"/>
  <c r="E125"/>
  <c r="F125" s="1"/>
  <c r="J124"/>
  <c r="J128" s="1"/>
  <c r="K128" s="1"/>
  <c r="L128" s="1"/>
  <c r="I124"/>
  <c r="H124"/>
  <c r="G124"/>
  <c r="F124"/>
  <c r="E124"/>
  <c r="D124"/>
  <c r="C124"/>
  <c r="C128" s="1"/>
  <c r="E128" s="1"/>
  <c r="F128" s="1"/>
  <c r="N122"/>
  <c r="L122"/>
  <c r="K122"/>
  <c r="I122"/>
  <c r="F122"/>
  <c r="E122"/>
  <c r="K121"/>
  <c r="L121" s="1"/>
  <c r="I121"/>
  <c r="E121"/>
  <c r="F121" s="1"/>
  <c r="N120"/>
  <c r="L120"/>
  <c r="K120"/>
  <c r="I120"/>
  <c r="F120"/>
  <c r="E120"/>
  <c r="K119"/>
  <c r="L119" s="1"/>
  <c r="I119"/>
  <c r="F119"/>
  <c r="E119"/>
  <c r="N118"/>
  <c r="L118"/>
  <c r="K118"/>
  <c r="I118"/>
  <c r="F118"/>
  <c r="E118"/>
  <c r="K117"/>
  <c r="L117" s="1"/>
  <c r="I117"/>
  <c r="E117"/>
  <c r="F117" s="1"/>
  <c r="N116"/>
  <c r="L116"/>
  <c r="K116"/>
  <c r="I116"/>
  <c r="F116"/>
  <c r="E116"/>
  <c r="K112"/>
  <c r="J112"/>
  <c r="C112"/>
  <c r="N111"/>
  <c r="L111"/>
  <c r="K111"/>
  <c r="I111"/>
  <c r="F111"/>
  <c r="E111"/>
  <c r="L110"/>
  <c r="K110"/>
  <c r="I110"/>
  <c r="N110" s="1"/>
  <c r="E110"/>
  <c r="F110" s="1"/>
  <c r="K109"/>
  <c r="L109" s="1"/>
  <c r="I109"/>
  <c r="F109"/>
  <c r="E109"/>
  <c r="K108"/>
  <c r="J108"/>
  <c r="H108"/>
  <c r="I108" s="1"/>
  <c r="G108"/>
  <c r="G112" s="1"/>
  <c r="D108"/>
  <c r="D112" s="1"/>
  <c r="C108"/>
  <c r="E108" s="1"/>
  <c r="F108" s="1"/>
  <c r="K106"/>
  <c r="L106" s="1"/>
  <c r="I106"/>
  <c r="F106"/>
  <c r="E106"/>
  <c r="N105"/>
  <c r="L105"/>
  <c r="K105"/>
  <c r="I105"/>
  <c r="F105"/>
  <c r="E105"/>
  <c r="K104"/>
  <c r="L104" s="1"/>
  <c r="I104"/>
  <c r="E104"/>
  <c r="F104" s="1"/>
  <c r="N103"/>
  <c r="L103"/>
  <c r="K103"/>
  <c r="I103"/>
  <c r="F103"/>
  <c r="E103"/>
  <c r="K102"/>
  <c r="L102" s="1"/>
  <c r="I102"/>
  <c r="F102"/>
  <c r="E102"/>
  <c r="N101"/>
  <c r="L101"/>
  <c r="K101"/>
  <c r="I101"/>
  <c r="F101"/>
  <c r="E101"/>
  <c r="K100"/>
  <c r="L100" s="1"/>
  <c r="I100"/>
  <c r="E100"/>
  <c r="F100" s="1"/>
  <c r="H96"/>
  <c r="E96"/>
  <c r="F96" s="1"/>
  <c r="D96"/>
  <c r="I96" s="1"/>
  <c r="C96"/>
  <c r="L95"/>
  <c r="N95" s="1"/>
  <c r="K95"/>
  <c r="I95"/>
  <c r="E95"/>
  <c r="F95" s="1"/>
  <c r="N94"/>
  <c r="L94"/>
  <c r="K94"/>
  <c r="I94"/>
  <c r="F94"/>
  <c r="E94"/>
  <c r="L93"/>
  <c r="K93"/>
  <c r="I93"/>
  <c r="N93" s="1"/>
  <c r="E93"/>
  <c r="F93" s="1"/>
  <c r="J92"/>
  <c r="K92" s="1"/>
  <c r="L92" s="1"/>
  <c r="I92"/>
  <c r="H92"/>
  <c r="G92"/>
  <c r="G96" s="1"/>
  <c r="F92"/>
  <c r="E92"/>
  <c r="D92"/>
  <c r="C92"/>
  <c r="N90"/>
  <c r="L90"/>
  <c r="K90"/>
  <c r="I90"/>
  <c r="F90"/>
  <c r="E90"/>
  <c r="K89"/>
  <c r="L89" s="1"/>
  <c r="I89"/>
  <c r="F89"/>
  <c r="E89"/>
  <c r="N88"/>
  <c r="L88"/>
  <c r="K88"/>
  <c r="I88"/>
  <c r="F88"/>
  <c r="E88"/>
  <c r="K87"/>
  <c r="L87" s="1"/>
  <c r="I87"/>
  <c r="E87"/>
  <c r="F87" s="1"/>
  <c r="N86"/>
  <c r="L86"/>
  <c r="K86"/>
  <c r="I86"/>
  <c r="F86"/>
  <c r="E86"/>
  <c r="K85"/>
  <c r="L85" s="1"/>
  <c r="I85"/>
  <c r="F85"/>
  <c r="E85"/>
  <c r="N84"/>
  <c r="L84"/>
  <c r="K84"/>
  <c r="I84"/>
  <c r="F84"/>
  <c r="E84"/>
  <c r="K80"/>
  <c r="J80"/>
  <c r="G80"/>
  <c r="K79"/>
  <c r="L79" s="1"/>
  <c r="I79"/>
  <c r="F79"/>
  <c r="E79"/>
  <c r="L78"/>
  <c r="N78" s="1"/>
  <c r="K78"/>
  <c r="I78"/>
  <c r="E78"/>
  <c r="F78" s="1"/>
  <c r="N77"/>
  <c r="L77"/>
  <c r="K77"/>
  <c r="I77"/>
  <c r="F77"/>
  <c r="E77"/>
  <c r="K76"/>
  <c r="J76"/>
  <c r="H76"/>
  <c r="H80" s="1"/>
  <c r="G76"/>
  <c r="D76"/>
  <c r="L76" s="1"/>
  <c r="C76"/>
  <c r="E76" s="1"/>
  <c r="F76" s="1"/>
  <c r="K74"/>
  <c r="L74" s="1"/>
  <c r="I74"/>
  <c r="N74" s="1"/>
  <c r="E74"/>
  <c r="F74" s="1"/>
  <c r="N73"/>
  <c r="L73"/>
  <c r="K73"/>
  <c r="I73"/>
  <c r="F73"/>
  <c r="E73"/>
  <c r="K72"/>
  <c r="L72" s="1"/>
  <c r="I72"/>
  <c r="F72"/>
  <c r="E72"/>
  <c r="N71"/>
  <c r="L71"/>
  <c r="K71"/>
  <c r="I71"/>
  <c r="F71"/>
  <c r="E71"/>
  <c r="K70"/>
  <c r="L70" s="1"/>
  <c r="I70"/>
  <c r="E70"/>
  <c r="F70" s="1"/>
  <c r="N69"/>
  <c r="L69"/>
  <c r="K69"/>
  <c r="I69"/>
  <c r="F69"/>
  <c r="E69"/>
  <c r="K68"/>
  <c r="L68" s="1"/>
  <c r="I68"/>
  <c r="F68"/>
  <c r="E68"/>
  <c r="I63"/>
  <c r="H63"/>
  <c r="G63"/>
  <c r="D63"/>
  <c r="L62"/>
  <c r="K62"/>
  <c r="I62"/>
  <c r="N62" s="1"/>
  <c r="E62"/>
  <c r="F62" s="1"/>
  <c r="K61"/>
  <c r="L61" s="1"/>
  <c r="I61"/>
  <c r="N61" s="1"/>
  <c r="F61"/>
  <c r="E61"/>
  <c r="L60"/>
  <c r="N60" s="1"/>
  <c r="K60"/>
  <c r="I60"/>
  <c r="E60"/>
  <c r="F60" s="1"/>
  <c r="J59"/>
  <c r="J63" s="1"/>
  <c r="K63" s="1"/>
  <c r="L63" s="1"/>
  <c r="I59"/>
  <c r="H59"/>
  <c r="G59"/>
  <c r="F59"/>
  <c r="E59"/>
  <c r="D59"/>
  <c r="C59"/>
  <c r="C63" s="1"/>
  <c r="E63" s="1"/>
  <c r="F63" s="1"/>
  <c r="L57"/>
  <c r="N57" s="1"/>
  <c r="K57"/>
  <c r="I57"/>
  <c r="F57"/>
  <c r="E57"/>
  <c r="K56"/>
  <c r="L56" s="1"/>
  <c r="I56"/>
  <c r="N56" s="1"/>
  <c r="E56"/>
  <c r="F56" s="1"/>
  <c r="N55"/>
  <c r="L55"/>
  <c r="K55"/>
  <c r="I55"/>
  <c r="E55"/>
  <c r="F55" s="1"/>
  <c r="K54"/>
  <c r="L54" s="1"/>
  <c r="I54"/>
  <c r="N54" s="1"/>
  <c r="F54"/>
  <c r="E54"/>
  <c r="L53"/>
  <c r="N53" s="1"/>
  <c r="K53"/>
  <c r="I53"/>
  <c r="F53"/>
  <c r="E53"/>
  <c r="K52"/>
  <c r="L52" s="1"/>
  <c r="I52"/>
  <c r="E52"/>
  <c r="F52" s="1"/>
  <c r="N51"/>
  <c r="L51"/>
  <c r="K51"/>
  <c r="I51"/>
  <c r="E51"/>
  <c r="F51" s="1"/>
  <c r="K47"/>
  <c r="J47"/>
  <c r="C47"/>
  <c r="N46"/>
  <c r="L46"/>
  <c r="K46"/>
  <c r="I46"/>
  <c r="F46"/>
  <c r="E46"/>
  <c r="L45"/>
  <c r="K45"/>
  <c r="I45"/>
  <c r="N45" s="1"/>
  <c r="E45"/>
  <c r="F45" s="1"/>
  <c r="K44"/>
  <c r="L44" s="1"/>
  <c r="I44"/>
  <c r="F44"/>
  <c r="E44"/>
  <c r="K43"/>
  <c r="L43" s="1"/>
  <c r="J43"/>
  <c r="H43"/>
  <c r="I43" s="1"/>
  <c r="N43" s="1"/>
  <c r="G43"/>
  <c r="G47" s="1"/>
  <c r="D43"/>
  <c r="D47" s="1"/>
  <c r="C43"/>
  <c r="E43" s="1"/>
  <c r="F43" s="1"/>
  <c r="K41"/>
  <c r="L41" s="1"/>
  <c r="I41"/>
  <c r="N41" s="1"/>
  <c r="F41"/>
  <c r="E41"/>
  <c r="L40"/>
  <c r="N40" s="1"/>
  <c r="K40"/>
  <c r="I40"/>
  <c r="F40"/>
  <c r="E40"/>
  <c r="K39"/>
  <c r="L39" s="1"/>
  <c r="I39"/>
  <c r="E39"/>
  <c r="F39" s="1"/>
  <c r="N38"/>
  <c r="L38"/>
  <c r="K38"/>
  <c r="I38"/>
  <c r="E38"/>
  <c r="F38" s="1"/>
  <c r="K37"/>
  <c r="L37" s="1"/>
  <c r="I37"/>
  <c r="F37"/>
  <c r="E37"/>
  <c r="L36"/>
  <c r="N36" s="1"/>
  <c r="K36"/>
  <c r="I36"/>
  <c r="F36"/>
  <c r="E36"/>
  <c r="K35"/>
  <c r="L35" s="1"/>
  <c r="I35"/>
  <c r="E35"/>
  <c r="F35" s="1"/>
  <c r="H31"/>
  <c r="I31" s="1"/>
  <c r="E31"/>
  <c r="F31" s="1"/>
  <c r="D31"/>
  <c r="C31"/>
  <c r="K30"/>
  <c r="L30" s="1"/>
  <c r="N30" s="1"/>
  <c r="I30"/>
  <c r="E30"/>
  <c r="F30" s="1"/>
  <c r="N29"/>
  <c r="L29"/>
  <c r="K29"/>
  <c r="I29"/>
  <c r="F29"/>
  <c r="E29"/>
  <c r="L28"/>
  <c r="K28"/>
  <c r="I28"/>
  <c r="N28" s="1"/>
  <c r="E28"/>
  <c r="F28" s="1"/>
  <c r="J27"/>
  <c r="K27" s="1"/>
  <c r="L27" s="1"/>
  <c r="I27"/>
  <c r="H27"/>
  <c r="G27"/>
  <c r="G31" s="1"/>
  <c r="E27"/>
  <c r="F27" s="1"/>
  <c r="D27"/>
  <c r="C27"/>
  <c r="N25"/>
  <c r="L25"/>
  <c r="K25"/>
  <c r="I25"/>
  <c r="E25"/>
  <c r="F25" s="1"/>
  <c r="K24"/>
  <c r="L24" s="1"/>
  <c r="I24"/>
  <c r="F24"/>
  <c r="E24"/>
  <c r="L23"/>
  <c r="N23" s="1"/>
  <c r="K23"/>
  <c r="I23"/>
  <c r="F23"/>
  <c r="E23"/>
  <c r="K22"/>
  <c r="L22" s="1"/>
  <c r="I22"/>
  <c r="N22" s="1"/>
  <c r="E22"/>
  <c r="F22" s="1"/>
  <c r="N21"/>
  <c r="L21"/>
  <c r="K21"/>
  <c r="I21"/>
  <c r="E21"/>
  <c r="F21" s="1"/>
  <c r="K20"/>
  <c r="L20" s="1"/>
  <c r="I20"/>
  <c r="N20" s="1"/>
  <c r="F20"/>
  <c r="E20"/>
  <c r="L19"/>
  <c r="N19" s="1"/>
  <c r="K19"/>
  <c r="I19"/>
  <c r="F19"/>
  <c r="E19"/>
  <c r="J15"/>
  <c r="K15" s="1"/>
  <c r="G15"/>
  <c r="K14"/>
  <c r="L14" s="1"/>
  <c r="I14"/>
  <c r="F14"/>
  <c r="E14"/>
  <c r="K13"/>
  <c r="L13" s="1"/>
  <c r="N13" s="1"/>
  <c r="I13"/>
  <c r="E13"/>
  <c r="F13" s="1"/>
  <c r="N12"/>
  <c r="L12"/>
  <c r="K12"/>
  <c r="K205" s="1"/>
  <c r="L205" s="1"/>
  <c r="I12"/>
  <c r="F12"/>
  <c r="E12"/>
  <c r="K11"/>
  <c r="J11"/>
  <c r="H11"/>
  <c r="H15" s="1"/>
  <c r="G11"/>
  <c r="D11"/>
  <c r="L11" s="1"/>
  <c r="C11"/>
  <c r="E11" s="1"/>
  <c r="F11" s="1"/>
  <c r="K9"/>
  <c r="L9" s="1"/>
  <c r="I9"/>
  <c r="E9"/>
  <c r="F9" s="1"/>
  <c r="N8"/>
  <c r="L8"/>
  <c r="K8"/>
  <c r="K201" s="1"/>
  <c r="L201" s="1"/>
  <c r="I8"/>
  <c r="E8"/>
  <c r="F8" s="1"/>
  <c r="K7"/>
  <c r="K200" s="1"/>
  <c r="L200" s="1"/>
  <c r="I7"/>
  <c r="F7"/>
  <c r="E7"/>
  <c r="L6"/>
  <c r="N6" s="1"/>
  <c r="K6"/>
  <c r="K199" s="1"/>
  <c r="L199" s="1"/>
  <c r="I6"/>
  <c r="F6"/>
  <c r="E6"/>
  <c r="K5"/>
  <c r="K198" s="1"/>
  <c r="L198" s="1"/>
  <c r="I5"/>
  <c r="E5"/>
  <c r="F5" s="1"/>
  <c r="N4"/>
  <c r="L4"/>
  <c r="K4"/>
  <c r="I4"/>
  <c r="E4"/>
  <c r="F4" s="1"/>
  <c r="K3"/>
  <c r="L3" s="1"/>
  <c r="I3"/>
  <c r="F3"/>
  <c r="E3"/>
  <c r="I57" i="2"/>
  <c r="C57"/>
  <c r="J54"/>
  <c r="H54"/>
  <c r="L54" s="1"/>
  <c r="M54" s="1"/>
  <c r="G54"/>
  <c r="F54"/>
  <c r="E54"/>
  <c r="D54"/>
  <c r="J53"/>
  <c r="H53"/>
  <c r="L53" s="1"/>
  <c r="M53" s="1"/>
  <c r="G53"/>
  <c r="F53"/>
  <c r="E53"/>
  <c r="D53"/>
  <c r="J52"/>
  <c r="H52"/>
  <c r="L52" s="1"/>
  <c r="M52" s="1"/>
  <c r="G52"/>
  <c r="F52"/>
  <c r="E52"/>
  <c r="D52"/>
  <c r="J51"/>
  <c r="H51"/>
  <c r="L51" s="1"/>
  <c r="M51" s="1"/>
  <c r="G51"/>
  <c r="F51"/>
  <c r="E51"/>
  <c r="D51"/>
  <c r="J50"/>
  <c r="H50"/>
  <c r="L50" s="1"/>
  <c r="M50" s="1"/>
  <c r="G50"/>
  <c r="F50"/>
  <c r="E50"/>
  <c r="D50"/>
  <c r="J49"/>
  <c r="H49"/>
  <c r="L49" s="1"/>
  <c r="M49" s="1"/>
  <c r="G49"/>
  <c r="F49"/>
  <c r="E49"/>
  <c r="D49"/>
  <c r="J48"/>
  <c r="H48"/>
  <c r="L48" s="1"/>
  <c r="M48" s="1"/>
  <c r="G48"/>
  <c r="F48"/>
  <c r="E48"/>
  <c r="D48"/>
  <c r="J47"/>
  <c r="H47"/>
  <c r="L47" s="1"/>
  <c r="M47" s="1"/>
  <c r="G47"/>
  <c r="F47"/>
  <c r="E47"/>
  <c r="D47"/>
  <c r="J46"/>
  <c r="H46"/>
  <c r="L46" s="1"/>
  <c r="M46" s="1"/>
  <c r="G46"/>
  <c r="F46"/>
  <c r="E46"/>
  <c r="D46"/>
  <c r="J45"/>
  <c r="H45"/>
  <c r="L45" s="1"/>
  <c r="M45" s="1"/>
  <c r="G45"/>
  <c r="F45"/>
  <c r="E45"/>
  <c r="D45"/>
  <c r="J44"/>
  <c r="H44"/>
  <c r="L44" s="1"/>
  <c r="M44" s="1"/>
  <c r="G44"/>
  <c r="F44"/>
  <c r="E44"/>
  <c r="D44"/>
  <c r="J43"/>
  <c r="H43"/>
  <c r="L43" s="1"/>
  <c r="M43" s="1"/>
  <c r="G43"/>
  <c r="F43"/>
  <c r="E43"/>
  <c r="D43"/>
  <c r="J42"/>
  <c r="H42"/>
  <c r="L42" s="1"/>
  <c r="M42" s="1"/>
  <c r="G42"/>
  <c r="F42"/>
  <c r="E42"/>
  <c r="D42"/>
  <c r="J41"/>
  <c r="H41"/>
  <c r="L41" s="1"/>
  <c r="M41" s="1"/>
  <c r="G41"/>
  <c r="F41"/>
  <c r="E41"/>
  <c r="D41"/>
  <c r="J40"/>
  <c r="H40"/>
  <c r="L40" s="1"/>
  <c r="M40" s="1"/>
  <c r="G40"/>
  <c r="F40"/>
  <c r="E40"/>
  <c r="D40"/>
  <c r="J39"/>
  <c r="H39"/>
  <c r="L39" s="1"/>
  <c r="M39" s="1"/>
  <c r="G39"/>
  <c r="F39"/>
  <c r="E39"/>
  <c r="D39"/>
  <c r="J38"/>
  <c r="H38"/>
  <c r="L38" s="1"/>
  <c r="M38" s="1"/>
  <c r="G38"/>
  <c r="F38"/>
  <c r="E38"/>
  <c r="D38"/>
  <c r="J37"/>
  <c r="H37"/>
  <c r="L37" s="1"/>
  <c r="M37" s="1"/>
  <c r="G37"/>
  <c r="F37"/>
  <c r="E37"/>
  <c r="D37"/>
  <c r="J36"/>
  <c r="H36"/>
  <c r="L36" s="1"/>
  <c r="M36" s="1"/>
  <c r="G36"/>
  <c r="F36"/>
  <c r="E36"/>
  <c r="D36"/>
  <c r="J35"/>
  <c r="H35"/>
  <c r="L35" s="1"/>
  <c r="M35" s="1"/>
  <c r="G35"/>
  <c r="F35"/>
  <c r="E35"/>
  <c r="D35"/>
  <c r="J34"/>
  <c r="H34"/>
  <c r="L34" s="1"/>
  <c r="M34" s="1"/>
  <c r="G34"/>
  <c r="F34"/>
  <c r="E34"/>
  <c r="D34"/>
  <c r="J33"/>
  <c r="H33"/>
  <c r="L33" s="1"/>
  <c r="M33" s="1"/>
  <c r="G33"/>
  <c r="F33"/>
  <c r="E33"/>
  <c r="D33"/>
  <c r="J32"/>
  <c r="H32"/>
  <c r="L32" s="1"/>
  <c r="M32" s="1"/>
  <c r="G32"/>
  <c r="F32"/>
  <c r="E32"/>
  <c r="D32"/>
  <c r="J31"/>
  <c r="H31"/>
  <c r="L31" s="1"/>
  <c r="M31" s="1"/>
  <c r="G31"/>
  <c r="F31"/>
  <c r="E31"/>
  <c r="D31"/>
  <c r="J30"/>
  <c r="H30"/>
  <c r="L30" s="1"/>
  <c r="M30" s="1"/>
  <c r="G30"/>
  <c r="F30"/>
  <c r="E30"/>
  <c r="D30"/>
  <c r="J29"/>
  <c r="H29"/>
  <c r="L29" s="1"/>
  <c r="M29" s="1"/>
  <c r="G29"/>
  <c r="F29"/>
  <c r="E29"/>
  <c r="D29"/>
  <c r="J28"/>
  <c r="H28"/>
  <c r="L28" s="1"/>
  <c r="M28" s="1"/>
  <c r="G28"/>
  <c r="F28"/>
  <c r="E28"/>
  <c r="D28"/>
  <c r="J27"/>
  <c r="H27"/>
  <c r="L27" s="1"/>
  <c r="M27" s="1"/>
  <c r="G27"/>
  <c r="F27"/>
  <c r="E27"/>
  <c r="D27"/>
  <c r="J26"/>
  <c r="H26"/>
  <c r="L26" s="1"/>
  <c r="M26" s="1"/>
  <c r="G26"/>
  <c r="F26"/>
  <c r="E26"/>
  <c r="D26"/>
  <c r="J25"/>
  <c r="H25"/>
  <c r="L25" s="1"/>
  <c r="M25" s="1"/>
  <c r="G25"/>
  <c r="F25"/>
  <c r="E25"/>
  <c r="D25"/>
  <c r="J24"/>
  <c r="H24"/>
  <c r="L24" s="1"/>
  <c r="M24" s="1"/>
  <c r="G24"/>
  <c r="F24"/>
  <c r="E24"/>
  <c r="D24"/>
  <c r="J23"/>
  <c r="H23"/>
  <c r="L23" s="1"/>
  <c r="M23" s="1"/>
  <c r="G23"/>
  <c r="F23"/>
  <c r="E23"/>
  <c r="D23"/>
  <c r="J22"/>
  <c r="H22"/>
  <c r="L22" s="1"/>
  <c r="M22" s="1"/>
  <c r="G22"/>
  <c r="F22"/>
  <c r="E22"/>
  <c r="D22"/>
  <c r="J21"/>
  <c r="H21"/>
  <c r="L21" s="1"/>
  <c r="M21" s="1"/>
  <c r="G21"/>
  <c r="F21"/>
  <c r="E21"/>
  <c r="D21"/>
  <c r="J20"/>
  <c r="H20"/>
  <c r="L20" s="1"/>
  <c r="M20" s="1"/>
  <c r="G20"/>
  <c r="F20"/>
  <c r="E20"/>
  <c r="D20"/>
  <c r="J19"/>
  <c r="H19"/>
  <c r="L19" s="1"/>
  <c r="M19" s="1"/>
  <c r="G19"/>
  <c r="F19"/>
  <c r="E19"/>
  <c r="D19"/>
  <c r="J18"/>
  <c r="H18"/>
  <c r="L18" s="1"/>
  <c r="M18" s="1"/>
  <c r="G18"/>
  <c r="F18"/>
  <c r="E18"/>
  <c r="D18"/>
  <c r="J17"/>
  <c r="H17"/>
  <c r="L17" s="1"/>
  <c r="M17" s="1"/>
  <c r="G17"/>
  <c r="F17"/>
  <c r="E17"/>
  <c r="D17"/>
  <c r="J16"/>
  <c r="H16"/>
  <c r="L16" s="1"/>
  <c r="M16" s="1"/>
  <c r="G16"/>
  <c r="F16"/>
  <c r="E16"/>
  <c r="D16"/>
  <c r="J15"/>
  <c r="H15"/>
  <c r="L15" s="1"/>
  <c r="M15" s="1"/>
  <c r="G15"/>
  <c r="F15"/>
  <c r="E15"/>
  <c r="D15"/>
  <c r="J14"/>
  <c r="H14"/>
  <c r="L14" s="1"/>
  <c r="M14" s="1"/>
  <c r="G14"/>
  <c r="F14"/>
  <c r="E14"/>
  <c r="D14"/>
  <c r="J13"/>
  <c r="H13"/>
  <c r="L13" s="1"/>
  <c r="M13" s="1"/>
  <c r="G13"/>
  <c r="F13"/>
  <c r="E13"/>
  <c r="D13"/>
  <c r="J12"/>
  <c r="H12"/>
  <c r="L12" s="1"/>
  <c r="M12" s="1"/>
  <c r="G12"/>
  <c r="F12"/>
  <c r="E12"/>
  <c r="D12"/>
  <c r="J11"/>
  <c r="H11"/>
  <c r="L11" s="1"/>
  <c r="M11" s="1"/>
  <c r="G11"/>
  <c r="F11"/>
  <c r="E11"/>
  <c r="D11"/>
  <c r="J10"/>
  <c r="H10"/>
  <c r="L10" s="1"/>
  <c r="M10" s="1"/>
  <c r="G10"/>
  <c r="F10"/>
  <c r="E10"/>
  <c r="D10"/>
  <c r="J9"/>
  <c r="H9"/>
  <c r="L9" s="1"/>
  <c r="M9" s="1"/>
  <c r="G9"/>
  <c r="F9"/>
  <c r="E9"/>
  <c r="D9"/>
  <c r="J8"/>
  <c r="H8"/>
  <c r="L8" s="1"/>
  <c r="M8" s="1"/>
  <c r="G8"/>
  <c r="F8"/>
  <c r="E8"/>
  <c r="D8"/>
  <c r="J7"/>
  <c r="H7"/>
  <c r="L7" s="1"/>
  <c r="M7" s="1"/>
  <c r="G7"/>
  <c r="F7"/>
  <c r="E7"/>
  <c r="D7"/>
  <c r="J6"/>
  <c r="H6"/>
  <c r="L6" s="1"/>
  <c r="M6" s="1"/>
  <c r="G6"/>
  <c r="F6"/>
  <c r="E6"/>
  <c r="D6"/>
  <c r="J5"/>
  <c r="F5"/>
  <c r="E5"/>
  <c r="D5"/>
  <c r="G5" s="1"/>
  <c r="J4"/>
  <c r="F4"/>
  <c r="D4" s="1"/>
  <c r="E4"/>
  <c r="J3"/>
  <c r="F3"/>
  <c r="F57" s="1"/>
  <c r="E3"/>
  <c r="AO107" i="1"/>
  <c r="AC107"/>
  <c r="AB107"/>
  <c r="W107"/>
  <c r="V107"/>
  <c r="U107"/>
  <c r="P107"/>
  <c r="O107"/>
  <c r="AM105"/>
  <c r="AL105"/>
  <c r="AI105"/>
  <c r="AF105"/>
  <c r="AG105" s="1"/>
  <c r="Z105"/>
  <c r="Y105"/>
  <c r="X105"/>
  <c r="S105"/>
  <c r="R105"/>
  <c r="Q105"/>
  <c r="M105"/>
  <c r="L105"/>
  <c r="K105"/>
  <c r="J105"/>
  <c r="D105"/>
  <c r="C105"/>
  <c r="AM104"/>
  <c r="AL104"/>
  <c r="AI104"/>
  <c r="AF104"/>
  <c r="AG104" s="1"/>
  <c r="Z104"/>
  <c r="Y104"/>
  <c r="X104"/>
  <c r="S104"/>
  <c r="R104"/>
  <c r="Q104"/>
  <c r="M104"/>
  <c r="L104"/>
  <c r="K104"/>
  <c r="J104"/>
  <c r="D104"/>
  <c r="C104"/>
  <c r="AM102"/>
  <c r="AL102"/>
  <c r="AI102"/>
  <c r="AF102"/>
  <c r="AG102" s="1"/>
  <c r="Z102"/>
  <c r="Y102"/>
  <c r="X102"/>
  <c r="S102"/>
  <c r="R102"/>
  <c r="Q102"/>
  <c r="M102"/>
  <c r="L102"/>
  <c r="K102"/>
  <c r="J102"/>
  <c r="D102"/>
  <c r="C102"/>
  <c r="AM101"/>
  <c r="AL101"/>
  <c r="AI101"/>
  <c r="AF101"/>
  <c r="AG101" s="1"/>
  <c r="Z101"/>
  <c r="Y101"/>
  <c r="X101"/>
  <c r="S101"/>
  <c r="R101"/>
  <c r="Q101"/>
  <c r="M101"/>
  <c r="L101"/>
  <c r="K101"/>
  <c r="J101"/>
  <c r="D101"/>
  <c r="C101"/>
  <c r="F101" s="1"/>
  <c r="AM100"/>
  <c r="AL100"/>
  <c r="AI100"/>
  <c r="AF100"/>
  <c r="AG100" s="1"/>
  <c r="Z100"/>
  <c r="Y100"/>
  <c r="X100"/>
  <c r="S100"/>
  <c r="R100"/>
  <c r="Q100"/>
  <c r="M100"/>
  <c r="L100"/>
  <c r="K100"/>
  <c r="J100"/>
  <c r="D100"/>
  <c r="C100"/>
  <c r="F100" s="1"/>
  <c r="AM99"/>
  <c r="AL99"/>
  <c r="AI99"/>
  <c r="AF99"/>
  <c r="AG99" s="1"/>
  <c r="Z99"/>
  <c r="Y99"/>
  <c r="X99"/>
  <c r="S99"/>
  <c r="R99"/>
  <c r="Q99"/>
  <c r="M99"/>
  <c r="L99"/>
  <c r="K99"/>
  <c r="J99"/>
  <c r="D99"/>
  <c r="C99"/>
  <c r="F99" s="1"/>
  <c r="AM98"/>
  <c r="AL98"/>
  <c r="AI98"/>
  <c r="AF98"/>
  <c r="AG98" s="1"/>
  <c r="Z98"/>
  <c r="Y98"/>
  <c r="X98"/>
  <c r="S98"/>
  <c r="R98"/>
  <c r="Q98"/>
  <c r="M98"/>
  <c r="L98"/>
  <c r="K98"/>
  <c r="J98"/>
  <c r="D98"/>
  <c r="C98"/>
  <c r="AM97"/>
  <c r="AL97"/>
  <c r="AI97"/>
  <c r="AF97"/>
  <c r="AG97" s="1"/>
  <c r="Z97"/>
  <c r="Y97"/>
  <c r="X97"/>
  <c r="S97"/>
  <c r="R97"/>
  <c r="Q97"/>
  <c r="M97"/>
  <c r="L97"/>
  <c r="K97"/>
  <c r="J97"/>
  <c r="D97"/>
  <c r="C97"/>
  <c r="F97" s="1"/>
  <c r="AM96"/>
  <c r="AL96"/>
  <c r="AI96"/>
  <c r="AF96"/>
  <c r="AG96" s="1"/>
  <c r="Z96"/>
  <c r="Y96"/>
  <c r="X96"/>
  <c r="S96"/>
  <c r="R96"/>
  <c r="Q96"/>
  <c r="M96"/>
  <c r="L96"/>
  <c r="K96"/>
  <c r="J96"/>
  <c r="D96"/>
  <c r="C96"/>
  <c r="AM95"/>
  <c r="AL95"/>
  <c r="AI95"/>
  <c r="AF95"/>
  <c r="AG95" s="1"/>
  <c r="Z95"/>
  <c r="Y95"/>
  <c r="X95"/>
  <c r="S95"/>
  <c r="R95"/>
  <c r="Q95"/>
  <c r="M95"/>
  <c r="L95"/>
  <c r="K95"/>
  <c r="J95"/>
  <c r="D95"/>
  <c r="C95"/>
  <c r="F95" s="1"/>
  <c r="AM89"/>
  <c r="AL89"/>
  <c r="AI89"/>
  <c r="AF89"/>
  <c r="AC89"/>
  <c r="AB89"/>
  <c r="Z89"/>
  <c r="Y89"/>
  <c r="X89"/>
  <c r="W89"/>
  <c r="V89"/>
  <c r="U89"/>
  <c r="S89"/>
  <c r="R89"/>
  <c r="Q89"/>
  <c r="P89"/>
  <c r="O89"/>
  <c r="M89"/>
  <c r="L89"/>
  <c r="K89"/>
  <c r="J89"/>
  <c r="D89"/>
  <c r="C89"/>
  <c r="AG87"/>
  <c r="AD87"/>
  <c r="AE87" s="1"/>
  <c r="AA87"/>
  <c r="T87"/>
  <c r="N87"/>
  <c r="I87"/>
  <c r="H87" s="1"/>
  <c r="G87"/>
  <c r="E87" s="1"/>
  <c r="F87"/>
  <c r="AG86"/>
  <c r="AD86"/>
  <c r="AA86"/>
  <c r="T86"/>
  <c r="N86"/>
  <c r="I86"/>
  <c r="H86" s="1"/>
  <c r="G86"/>
  <c r="AJ86" s="1"/>
  <c r="F86"/>
  <c r="AG84"/>
  <c r="AD84"/>
  <c r="AA84"/>
  <c r="T84"/>
  <c r="N84"/>
  <c r="I84"/>
  <c r="H84" s="1"/>
  <c r="G84"/>
  <c r="E84" s="1"/>
  <c r="F84"/>
  <c r="AG83"/>
  <c r="AH83" s="1"/>
  <c r="AD83"/>
  <c r="AA83"/>
  <c r="T83"/>
  <c r="N83"/>
  <c r="I83"/>
  <c r="H83" s="1"/>
  <c r="G83"/>
  <c r="E83" s="1"/>
  <c r="F83"/>
  <c r="AJ82"/>
  <c r="AG82"/>
  <c r="AH82" s="1"/>
  <c r="AD82"/>
  <c r="AA82"/>
  <c r="T82"/>
  <c r="N82"/>
  <c r="I82"/>
  <c r="H82" s="1"/>
  <c r="G82"/>
  <c r="F82"/>
  <c r="E82"/>
  <c r="AG81"/>
  <c r="AD81"/>
  <c r="AA81"/>
  <c r="T81"/>
  <c r="N81"/>
  <c r="I81"/>
  <c r="H81" s="1"/>
  <c r="G81"/>
  <c r="E81" s="1"/>
  <c r="F81"/>
  <c r="AG80"/>
  <c r="AD80"/>
  <c r="AA80"/>
  <c r="T80"/>
  <c r="N80"/>
  <c r="I80"/>
  <c r="H80" s="1"/>
  <c r="G80"/>
  <c r="AE80" s="1"/>
  <c r="F80"/>
  <c r="AG79"/>
  <c r="AD79"/>
  <c r="AA79"/>
  <c r="T79"/>
  <c r="N79"/>
  <c r="I79"/>
  <c r="H79" s="1"/>
  <c r="G79"/>
  <c r="E79" s="1"/>
  <c r="F79"/>
  <c r="AG78"/>
  <c r="AD78"/>
  <c r="AA78"/>
  <c r="T78"/>
  <c r="N78"/>
  <c r="I78"/>
  <c r="H78" s="1"/>
  <c r="G78"/>
  <c r="E78" s="1"/>
  <c r="F78"/>
  <c r="AG77"/>
  <c r="AD77"/>
  <c r="AA77"/>
  <c r="T77"/>
  <c r="N77"/>
  <c r="I77"/>
  <c r="H77" s="1"/>
  <c r="H89" s="1"/>
  <c r="G77"/>
  <c r="E77" s="1"/>
  <c r="F77"/>
  <c r="T105"/>
  <c r="AP65"/>
  <c r="T99"/>
  <c r="AO17"/>
  <c r="AM17"/>
  <c r="AL17"/>
  <c r="AI17"/>
  <c r="AF17"/>
  <c r="AC17"/>
  <c r="AB17"/>
  <c r="Z17"/>
  <c r="Y17"/>
  <c r="X17"/>
  <c r="W17"/>
  <c r="V17"/>
  <c r="U17"/>
  <c r="S17"/>
  <c r="R17"/>
  <c r="Q17"/>
  <c r="P17"/>
  <c r="O17"/>
  <c r="M17"/>
  <c r="L17"/>
  <c r="K17"/>
  <c r="J17"/>
  <c r="D17"/>
  <c r="C17"/>
  <c r="AN15"/>
  <c r="AN33" s="1"/>
  <c r="AN51" s="1"/>
  <c r="AN69" s="1"/>
  <c r="AN87" s="1"/>
  <c r="AN105" s="1"/>
  <c r="AG15"/>
  <c r="AD15"/>
  <c r="AA15"/>
  <c r="T15"/>
  <c r="N15"/>
  <c r="I15"/>
  <c r="H15" s="1"/>
  <c r="G15"/>
  <c r="E15" s="1"/>
  <c r="F15"/>
  <c r="AN14"/>
  <c r="AN32" s="1"/>
  <c r="AN50" s="1"/>
  <c r="AN68" s="1"/>
  <c r="AN86" s="1"/>
  <c r="AN104" s="1"/>
  <c r="AG14"/>
  <c r="AD14"/>
  <c r="AA14"/>
  <c r="T14"/>
  <c r="N14"/>
  <c r="I14"/>
  <c r="H14" s="1"/>
  <c r="G14"/>
  <c r="E14" s="1"/>
  <c r="F14"/>
  <c r="AN12"/>
  <c r="AN30" s="1"/>
  <c r="AN48" s="1"/>
  <c r="AN66" s="1"/>
  <c r="AN84" s="1"/>
  <c r="AN102" s="1"/>
  <c r="AG12"/>
  <c r="AD12"/>
  <c r="AA12"/>
  <c r="T12"/>
  <c r="N12"/>
  <c r="I12"/>
  <c r="H12" s="1"/>
  <c r="G12"/>
  <c r="AJ12" s="1"/>
  <c r="F12"/>
  <c r="AN11"/>
  <c r="AN29" s="1"/>
  <c r="AN47" s="1"/>
  <c r="AN65" s="1"/>
  <c r="AN83" s="1"/>
  <c r="AN101" s="1"/>
  <c r="AG11"/>
  <c r="AD11"/>
  <c r="AA11"/>
  <c r="T11"/>
  <c r="N11"/>
  <c r="I11"/>
  <c r="H11" s="1"/>
  <c r="G11"/>
  <c r="E11" s="1"/>
  <c r="F11"/>
  <c r="AN10"/>
  <c r="AN28" s="1"/>
  <c r="AN46" s="1"/>
  <c r="AN64" s="1"/>
  <c r="AN82" s="1"/>
  <c r="AN100" s="1"/>
  <c r="AG10"/>
  <c r="AD10"/>
  <c r="AA10"/>
  <c r="T10"/>
  <c r="N10"/>
  <c r="I10"/>
  <c r="H10" s="1"/>
  <c r="G10"/>
  <c r="F10"/>
  <c r="AN9"/>
  <c r="AN27" s="1"/>
  <c r="AN45" s="1"/>
  <c r="AN63" s="1"/>
  <c r="AN81" s="1"/>
  <c r="AN99" s="1"/>
  <c r="AG9"/>
  <c r="AD9"/>
  <c r="AA9"/>
  <c r="T9"/>
  <c r="N9"/>
  <c r="I9"/>
  <c r="H9" s="1"/>
  <c r="G9"/>
  <c r="E9" s="1"/>
  <c r="F9"/>
  <c r="AN8"/>
  <c r="AN26" s="1"/>
  <c r="AN44" s="1"/>
  <c r="AN62" s="1"/>
  <c r="AN80" s="1"/>
  <c r="AN98" s="1"/>
  <c r="AG8"/>
  <c r="AD8"/>
  <c r="AA8"/>
  <c r="T8"/>
  <c r="N8"/>
  <c r="I8"/>
  <c r="H8" s="1"/>
  <c r="G8"/>
  <c r="AJ8" s="1"/>
  <c r="F8"/>
  <c r="AN7"/>
  <c r="AN25" s="1"/>
  <c r="AN43" s="1"/>
  <c r="AN61" s="1"/>
  <c r="AN79" s="1"/>
  <c r="AN97" s="1"/>
  <c r="AG7"/>
  <c r="AD7"/>
  <c r="AA7"/>
  <c r="T7"/>
  <c r="N7"/>
  <c r="I7"/>
  <c r="H7" s="1"/>
  <c r="G7"/>
  <c r="AJ7" s="1"/>
  <c r="F7"/>
  <c r="E7"/>
  <c r="AN6"/>
  <c r="AN24" s="1"/>
  <c r="AN42" s="1"/>
  <c r="AN60" s="1"/>
  <c r="AN78" s="1"/>
  <c r="AN96" s="1"/>
  <c r="AG6"/>
  <c r="AD6"/>
  <c r="AA6"/>
  <c r="T6"/>
  <c r="N6"/>
  <c r="I6"/>
  <c r="H6" s="1"/>
  <c r="G6"/>
  <c r="E6" s="1"/>
  <c r="F6"/>
  <c r="AN5"/>
  <c r="AN23" s="1"/>
  <c r="AG5"/>
  <c r="AD5"/>
  <c r="AA5"/>
  <c r="T5"/>
  <c r="N5"/>
  <c r="I5"/>
  <c r="G5"/>
  <c r="AJ5" s="1"/>
  <c r="F5"/>
  <c r="J57" i="2" l="1"/>
  <c r="D3"/>
  <c r="D57" s="1"/>
  <c r="AK67" i="1"/>
  <c r="AE71"/>
  <c r="AK71" s="1"/>
  <c r="AK59"/>
  <c r="AK68"/>
  <c r="AK61"/>
  <c r="I103"/>
  <c r="H103" s="1"/>
  <c r="AJ66"/>
  <c r="AK66" s="1"/>
  <c r="E68"/>
  <c r="AE58"/>
  <c r="AK58" s="1"/>
  <c r="H59"/>
  <c r="H71" s="1"/>
  <c r="AE62"/>
  <c r="AK62" s="1"/>
  <c r="E58"/>
  <c r="E62"/>
  <c r="AK50"/>
  <c r="AK40"/>
  <c r="AK44"/>
  <c r="AK48"/>
  <c r="AD94"/>
  <c r="E50"/>
  <c r="G53"/>
  <c r="AJ53" s="1"/>
  <c r="AJ41"/>
  <c r="AJ45"/>
  <c r="AH41"/>
  <c r="AJ49"/>
  <c r="AH49"/>
  <c r="AK49" s="1"/>
  <c r="AE41"/>
  <c r="H42"/>
  <c r="H53" s="1"/>
  <c r="AE45"/>
  <c r="AK45" s="1"/>
  <c r="AJ50"/>
  <c r="AE42"/>
  <c r="AK42" s="1"/>
  <c r="AK32"/>
  <c r="AK23"/>
  <c r="AK25"/>
  <c r="AE29"/>
  <c r="AK29" s="1"/>
  <c r="AE33"/>
  <c r="AK33" s="1"/>
  <c r="AE22"/>
  <c r="AK22" s="1"/>
  <c r="H23"/>
  <c r="H35" s="1"/>
  <c r="AE26"/>
  <c r="AK26" s="1"/>
  <c r="E29"/>
  <c r="E33"/>
  <c r="E22"/>
  <c r="E26"/>
  <c r="AE30"/>
  <c r="AK30" s="1"/>
  <c r="AE27"/>
  <c r="AK27" s="1"/>
  <c r="G35"/>
  <c r="E103"/>
  <c r="N94"/>
  <c r="AA94"/>
  <c r="E94"/>
  <c r="N103"/>
  <c r="AD103"/>
  <c r="AA103"/>
  <c r="G103"/>
  <c r="AH103" s="1"/>
  <c r="I94"/>
  <c r="H94" s="1"/>
  <c r="G94"/>
  <c r="AE94" s="1"/>
  <c r="F94"/>
  <c r="T89"/>
  <c r="AH79"/>
  <c r="AJ78"/>
  <c r="AE79"/>
  <c r="T102"/>
  <c r="T104"/>
  <c r="T96"/>
  <c r="T100"/>
  <c r="AH78"/>
  <c r="AH77"/>
  <c r="AH86"/>
  <c r="E86"/>
  <c r="AH81"/>
  <c r="AE7"/>
  <c r="AG89"/>
  <c r="AE86"/>
  <c r="AE77"/>
  <c r="AH80"/>
  <c r="N17"/>
  <c r="AE78"/>
  <c r="N89"/>
  <c r="AE81"/>
  <c r="AH84"/>
  <c r="AH10"/>
  <c r="AA89"/>
  <c r="AJ79"/>
  <c r="AE84"/>
  <c r="AK82"/>
  <c r="AH87"/>
  <c r="AJ87"/>
  <c r="AD89"/>
  <c r="F89"/>
  <c r="AJ81"/>
  <c r="AA100"/>
  <c r="S107"/>
  <c r="AA98"/>
  <c r="T17"/>
  <c r="AD96"/>
  <c r="AD100"/>
  <c r="AD17"/>
  <c r="I17"/>
  <c r="H5"/>
  <c r="H17" s="1"/>
  <c r="AE12"/>
  <c r="AE13"/>
  <c r="E12"/>
  <c r="E8"/>
  <c r="AJ11"/>
  <c r="AH15"/>
  <c r="AH9"/>
  <c r="AE9"/>
  <c r="AH8"/>
  <c r="AE8"/>
  <c r="AK8" s="1"/>
  <c r="AH11"/>
  <c r="AE11"/>
  <c r="AJ4"/>
  <c r="AH4"/>
  <c r="AE4"/>
  <c r="AH7"/>
  <c r="AH14"/>
  <c r="AE5"/>
  <c r="AH12"/>
  <c r="AH13"/>
  <c r="AH6"/>
  <c r="E5"/>
  <c r="AE15"/>
  <c r="E13"/>
  <c r="AG17"/>
  <c r="F17"/>
  <c r="AA17"/>
  <c r="N100"/>
  <c r="N105"/>
  <c r="N97"/>
  <c r="E101"/>
  <c r="I104"/>
  <c r="H104" s="1"/>
  <c r="E105"/>
  <c r="AM107"/>
  <c r="AL107"/>
  <c r="AI107"/>
  <c r="AF107"/>
  <c r="AA101"/>
  <c r="Z107"/>
  <c r="AA97"/>
  <c r="AA95"/>
  <c r="AA105"/>
  <c r="AD105"/>
  <c r="AA102"/>
  <c r="AA99"/>
  <c r="AD99"/>
  <c r="Y107"/>
  <c r="AA96"/>
  <c r="I105"/>
  <c r="H105" s="1"/>
  <c r="AA104"/>
  <c r="I98"/>
  <c r="H98" s="1"/>
  <c r="R107"/>
  <c r="AD102"/>
  <c r="AD101"/>
  <c r="AD98"/>
  <c r="AD95"/>
  <c r="I102"/>
  <c r="H102" s="1"/>
  <c r="T101"/>
  <c r="T98"/>
  <c r="I97"/>
  <c r="H97" s="1"/>
  <c r="Q107"/>
  <c r="I96"/>
  <c r="H96" s="1"/>
  <c r="N104"/>
  <c r="M107"/>
  <c r="N101"/>
  <c r="N99"/>
  <c r="N98"/>
  <c r="N95"/>
  <c r="J107"/>
  <c r="G98"/>
  <c r="AJ98" s="1"/>
  <c r="G96"/>
  <c r="AH96" s="1"/>
  <c r="H100"/>
  <c r="E100"/>
  <c r="F98"/>
  <c r="G105"/>
  <c r="AJ105" s="1"/>
  <c r="E104"/>
  <c r="G102"/>
  <c r="AH102" s="1"/>
  <c r="G97"/>
  <c r="AJ97" s="1"/>
  <c r="D107"/>
  <c r="F105"/>
  <c r="F104"/>
  <c r="G104"/>
  <c r="AJ104" s="1"/>
  <c r="E102"/>
  <c r="G99"/>
  <c r="AH99" s="1"/>
  <c r="E99"/>
  <c r="E98"/>
  <c r="E97"/>
  <c r="E95"/>
  <c r="H5" i="2"/>
  <c r="L5" s="1"/>
  <c r="M5" s="1"/>
  <c r="E57"/>
  <c r="G4"/>
  <c r="H4"/>
  <c r="H3"/>
  <c r="N109" i="3"/>
  <c r="N119"/>
  <c r="N128"/>
  <c r="N149"/>
  <c r="N168"/>
  <c r="N31"/>
  <c r="N156"/>
  <c r="N14"/>
  <c r="N27"/>
  <c r="N44"/>
  <c r="N70"/>
  <c r="N126"/>
  <c r="N138"/>
  <c r="L144"/>
  <c r="N166"/>
  <c r="N172"/>
  <c r="L192"/>
  <c r="N192" s="1"/>
  <c r="N68"/>
  <c r="N79"/>
  <c r="N89"/>
  <c r="N106"/>
  <c r="L112"/>
  <c r="N117"/>
  <c r="N136"/>
  <c r="E204"/>
  <c r="F204" s="1"/>
  <c r="C208"/>
  <c r="E208" s="1"/>
  <c r="F208" s="1"/>
  <c r="L47"/>
  <c r="N96"/>
  <c r="M198"/>
  <c r="N121"/>
  <c r="N9"/>
  <c r="N37"/>
  <c r="N39"/>
  <c r="N52"/>
  <c r="N87"/>
  <c r="N92"/>
  <c r="N104"/>
  <c r="E112"/>
  <c r="F112" s="1"/>
  <c r="N134"/>
  <c r="I144"/>
  <c r="N173"/>
  <c r="M202"/>
  <c r="K204"/>
  <c r="L204" s="1"/>
  <c r="J208"/>
  <c r="K208" s="1"/>
  <c r="L208" s="1"/>
  <c r="N72"/>
  <c r="N100"/>
  <c r="N151"/>
  <c r="E192"/>
  <c r="F192" s="1"/>
  <c r="N3"/>
  <c r="N5"/>
  <c r="N24"/>
  <c r="N35"/>
  <c r="E47"/>
  <c r="F47" s="1"/>
  <c r="N63"/>
  <c r="N85"/>
  <c r="N102"/>
  <c r="N108"/>
  <c r="N132"/>
  <c r="N143"/>
  <c r="N153"/>
  <c r="M199"/>
  <c r="M206"/>
  <c r="K202"/>
  <c r="L202" s="1"/>
  <c r="H204"/>
  <c r="L140"/>
  <c r="L5"/>
  <c r="I11"/>
  <c r="N11" s="1"/>
  <c r="D15"/>
  <c r="I15" s="1"/>
  <c r="J31"/>
  <c r="K31" s="1"/>
  <c r="L31" s="1"/>
  <c r="H47"/>
  <c r="I47" s="1"/>
  <c r="N47" s="1"/>
  <c r="K59"/>
  <c r="L59" s="1"/>
  <c r="N59" s="1"/>
  <c r="I76"/>
  <c r="N76" s="1"/>
  <c r="D80"/>
  <c r="I80" s="1"/>
  <c r="J96"/>
  <c r="K96" s="1"/>
  <c r="L96" s="1"/>
  <c r="H112"/>
  <c r="I112" s="1"/>
  <c r="K124"/>
  <c r="L124" s="1"/>
  <c r="N124" s="1"/>
  <c r="I140"/>
  <c r="J160"/>
  <c r="K160" s="1"/>
  <c r="L160" s="1"/>
  <c r="N160" s="1"/>
  <c r="H176"/>
  <c r="I176" s="1"/>
  <c r="N176" s="1"/>
  <c r="K188"/>
  <c r="L188" s="1"/>
  <c r="K196"/>
  <c r="L196" s="1"/>
  <c r="C15"/>
  <c r="E15" s="1"/>
  <c r="F15" s="1"/>
  <c r="C80"/>
  <c r="L108"/>
  <c r="C144"/>
  <c r="E144" s="1"/>
  <c r="F144" s="1"/>
  <c r="I188"/>
  <c r="I196"/>
  <c r="K207"/>
  <c r="L207" s="1"/>
  <c r="M207" s="1"/>
  <c r="K197"/>
  <c r="L197" s="1"/>
  <c r="M197" s="1"/>
  <c r="L7"/>
  <c r="N7" s="1"/>
  <c r="AE89" i="1"/>
  <c r="AN41"/>
  <c r="AN35"/>
  <c r="AG107"/>
  <c r="AH5"/>
  <c r="AJ6"/>
  <c r="E10"/>
  <c r="AJ14"/>
  <c r="E80"/>
  <c r="AJ83"/>
  <c r="F96"/>
  <c r="N96"/>
  <c r="AD97"/>
  <c r="I99"/>
  <c r="H99" s="1"/>
  <c r="F102"/>
  <c r="N102"/>
  <c r="AD104"/>
  <c r="AJ15"/>
  <c r="AN17"/>
  <c r="AJ77"/>
  <c r="AK77" s="1"/>
  <c r="AJ84"/>
  <c r="E96"/>
  <c r="X107"/>
  <c r="G17"/>
  <c r="E17" s="1"/>
  <c r="I89"/>
  <c r="AE6"/>
  <c r="AJ9"/>
  <c r="AE14"/>
  <c r="AE83"/>
  <c r="T95"/>
  <c r="G100"/>
  <c r="AJ100" s="1"/>
  <c r="AJ80"/>
  <c r="G89"/>
  <c r="I95"/>
  <c r="I101"/>
  <c r="H101" s="1"/>
  <c r="AJ10"/>
  <c r="L107"/>
  <c r="G95"/>
  <c r="G101"/>
  <c r="AH101" s="1"/>
  <c r="C107"/>
  <c r="K107"/>
  <c r="G3" i="2" l="1"/>
  <c r="G57" s="1"/>
  <c r="AE53" i="1"/>
  <c r="AK53" s="1"/>
  <c r="AK41"/>
  <c r="E53"/>
  <c r="AH53"/>
  <c r="AJ35"/>
  <c r="E35"/>
  <c r="AH35"/>
  <c r="AE35"/>
  <c r="AE103"/>
  <c r="AJ103"/>
  <c r="AJ94"/>
  <c r="AH94"/>
  <c r="AK79"/>
  <c r="AK7"/>
  <c r="AK78"/>
  <c r="AK86"/>
  <c r="AK9"/>
  <c r="AK10"/>
  <c r="AK84"/>
  <c r="AK80"/>
  <c r="AK13"/>
  <c r="AK11"/>
  <c r="AK87"/>
  <c r="AK81"/>
  <c r="AK6"/>
  <c r="AK5"/>
  <c r="AK12"/>
  <c r="AK14"/>
  <c r="AK4"/>
  <c r="AK15"/>
  <c r="AE96"/>
  <c r="AH98"/>
  <c r="AA107"/>
  <c r="AD107"/>
  <c r="AE95"/>
  <c r="T107"/>
  <c r="N107"/>
  <c r="AE98"/>
  <c r="AJ96"/>
  <c r="AJ95"/>
  <c r="AE105"/>
  <c r="AE104"/>
  <c r="AH105"/>
  <c r="AJ102"/>
  <c r="AE102"/>
  <c r="AH97"/>
  <c r="AE97"/>
  <c r="E107"/>
  <c r="F107"/>
  <c r="AH104"/>
  <c r="AE99"/>
  <c r="AJ99"/>
  <c r="H57" i="2"/>
  <c r="L4"/>
  <c r="M4" s="1"/>
  <c r="L3"/>
  <c r="N15" i="3"/>
  <c r="N80"/>
  <c r="L80"/>
  <c r="E80"/>
  <c r="F80" s="1"/>
  <c r="N112"/>
  <c r="L15"/>
  <c r="N140"/>
  <c r="N188"/>
  <c r="N144"/>
  <c r="H208"/>
  <c r="I208" s="1"/>
  <c r="M208" s="1"/>
  <c r="I204"/>
  <c r="M204" s="1"/>
  <c r="M196"/>
  <c r="AJ89" i="1"/>
  <c r="E89"/>
  <c r="H95"/>
  <c r="H107" s="1"/>
  <c r="I107"/>
  <c r="AE17"/>
  <c r="AJ17"/>
  <c r="AH17"/>
  <c r="AN59"/>
  <c r="AN53"/>
  <c r="G107"/>
  <c r="AJ107" s="1"/>
  <c r="AH95"/>
  <c r="AJ101"/>
  <c r="AH89"/>
  <c r="AK83"/>
  <c r="AH100"/>
  <c r="AK100" s="1"/>
  <c r="AE101"/>
  <c r="AK35" l="1"/>
  <c r="AK103"/>
  <c r="AK94"/>
  <c r="AK89"/>
  <c r="AK98"/>
  <c r="AK99"/>
  <c r="AK96"/>
  <c r="AK104"/>
  <c r="AK102"/>
  <c r="AK95"/>
  <c r="AK105"/>
  <c r="AK97"/>
  <c r="AK101"/>
  <c r="AH107"/>
  <c r="L57" i="2"/>
  <c r="M3"/>
  <c r="M57" s="1"/>
  <c r="AK17" i="1"/>
  <c r="AE107"/>
  <c r="AN77"/>
  <c r="AN71"/>
  <c r="AK107" l="1"/>
  <c r="AN95"/>
  <c r="AN107" s="1"/>
  <c r="AN89"/>
</calcChain>
</file>

<file path=xl/sharedStrings.xml><?xml version="1.0" encoding="utf-8"?>
<sst xmlns="http://schemas.openxmlformats.org/spreadsheetml/2006/main" count="720" uniqueCount="139">
  <si>
    <t>WEEK-1 29-12-2024 To 04-01-2025</t>
  </si>
  <si>
    <t xml:space="preserve">STORE </t>
  </si>
  <si>
    <t>GROSS SALES</t>
  </si>
  <si>
    <t>VAT</t>
  </si>
  <si>
    <t>VAT %</t>
  </si>
  <si>
    <t>Adjusted VAT</t>
  </si>
  <si>
    <t>NET SALES</t>
  </si>
  <si>
    <t>Delivery %</t>
  </si>
  <si>
    <t>Total 3PD Sale</t>
  </si>
  <si>
    <t>Customer Count</t>
  </si>
  <si>
    <t>JustEat Sale</t>
  </si>
  <si>
    <t>JUST Charge</t>
  </si>
  <si>
    <t>20% Vat</t>
  </si>
  <si>
    <t>Receive from Justeat</t>
  </si>
  <si>
    <t>Amount Received in Bank</t>
  </si>
  <si>
    <t>Variance from Bank</t>
  </si>
  <si>
    <t>UberEat Sale</t>
  </si>
  <si>
    <t>UBEREAT Charge</t>
  </si>
  <si>
    <t>Receive From Uber</t>
  </si>
  <si>
    <t>Ubereats Advertise</t>
  </si>
  <si>
    <t>Uber discount %</t>
  </si>
  <si>
    <t>Deliveroo sale</t>
  </si>
  <si>
    <t>DELIVEROO Charge</t>
  </si>
  <si>
    <t>Recive From Deliveroo</t>
  </si>
  <si>
    <t>delivery Charges TOTAL</t>
  </si>
  <si>
    <t>Delivery Charge %</t>
  </si>
  <si>
    <t>LABOUR HOURS</t>
  </si>
  <si>
    <t xml:space="preserve">LABOUR COST </t>
  </si>
  <si>
    <t>Labour cost %</t>
  </si>
  <si>
    <t xml:space="preserve">BID FOOD </t>
  </si>
  <si>
    <t>Food cost %</t>
  </si>
  <si>
    <t>TOTAL COST %</t>
  </si>
  <si>
    <t>Instore Food Cost</t>
  </si>
  <si>
    <t>Instore Labour Cost</t>
  </si>
  <si>
    <t>Bidfood Total 01/01 To 04/01</t>
  </si>
  <si>
    <t>BAKER ST</t>
  </si>
  <si>
    <t>Swiss Cottage</t>
  </si>
  <si>
    <t>4 Camden</t>
  </si>
  <si>
    <t>Haringey</t>
  </si>
  <si>
    <t>Victoria</t>
  </si>
  <si>
    <t>Excel</t>
  </si>
  <si>
    <t>Tottenham</t>
  </si>
  <si>
    <t>Gallions</t>
  </si>
  <si>
    <t>Mall</t>
  </si>
  <si>
    <t>Hoestreet</t>
  </si>
  <si>
    <t>TOTAL</t>
  </si>
  <si>
    <t>WEEK-2 05-01-2025 To 11-01-2025</t>
  </si>
  <si>
    <t>Bidfood Total 01/01 To 11/01</t>
  </si>
  <si>
    <t>WEEK-3 12-01-2025 To 18-01-2025</t>
  </si>
  <si>
    <t>Bidfood Total 01/01 To 18/01</t>
  </si>
  <si>
    <t>WEEK-4 19-01-2025 To 25-01-2025</t>
  </si>
  <si>
    <t>Bidfood Total 01/01 To 25/01</t>
  </si>
  <si>
    <t>WEEK-5 26-01-2025 To 01-02-2025</t>
  </si>
  <si>
    <t>Bidfood Total 01/01 To 31/01</t>
  </si>
  <si>
    <t xml:space="preserve"> 30-12-2024 To 02-02-2025</t>
  </si>
  <si>
    <t>Monthly</t>
  </si>
  <si>
    <t>Bidfood 01/02/2025</t>
  </si>
  <si>
    <t>Week Ending</t>
  </si>
  <si>
    <t>Sales</t>
  </si>
  <si>
    <t>Net</t>
  </si>
  <si>
    <t>Labour</t>
  </si>
  <si>
    <t>VAT 18%</t>
  </si>
  <si>
    <t>Royalties</t>
  </si>
  <si>
    <t>Food Cost 22%</t>
  </si>
  <si>
    <t>Commision</t>
  </si>
  <si>
    <t>Commision Percentage</t>
  </si>
  <si>
    <t>Total</t>
  </si>
  <si>
    <t>Income</t>
  </si>
  <si>
    <t>29/12 To 04/01</t>
  </si>
  <si>
    <t>05/01 To 11/01</t>
  </si>
  <si>
    <t>12/01 To 18/01</t>
  </si>
  <si>
    <t>19/01 To 25/01</t>
  </si>
  <si>
    <t>26/01 To 01/02</t>
  </si>
  <si>
    <t>02/02 To 08/02</t>
  </si>
  <si>
    <t>09/02 To 15/02</t>
  </si>
  <si>
    <t>16/02 To 22/02</t>
  </si>
  <si>
    <t>23/02 To 01/03</t>
  </si>
  <si>
    <t>02/03 To 08/03</t>
  </si>
  <si>
    <t>09/03 To 15/03</t>
  </si>
  <si>
    <t>16/03 To 22/03</t>
  </si>
  <si>
    <t>23/03 To 29/03</t>
  </si>
  <si>
    <t>30/03 To 05/04</t>
  </si>
  <si>
    <t>06/04 To 12/04</t>
  </si>
  <si>
    <t>13/04 To 19/04</t>
  </si>
  <si>
    <t>20/04 To 26/04</t>
  </si>
  <si>
    <t>27/04 To 03/05</t>
  </si>
  <si>
    <t>04/05 To 10/05</t>
  </si>
  <si>
    <t>11/05 To 17/05</t>
  </si>
  <si>
    <t>18/05 To 24/05</t>
  </si>
  <si>
    <t>25/05 To 31/05</t>
  </si>
  <si>
    <t>01/06 To 07/06</t>
  </si>
  <si>
    <t>08/06 To 14/06</t>
  </si>
  <si>
    <t>15/06 To 21/06</t>
  </si>
  <si>
    <t>22/06 To 28/06</t>
  </si>
  <si>
    <t>29/06 To 05/07</t>
  </si>
  <si>
    <t>06/07 To 12/07</t>
  </si>
  <si>
    <t>13/07 To 19/07</t>
  </si>
  <si>
    <t>20/07 To 26/07</t>
  </si>
  <si>
    <t>27/07 To 02/08</t>
  </si>
  <si>
    <t>03/08 To 09/08</t>
  </si>
  <si>
    <t>10/08 To 16/08</t>
  </si>
  <si>
    <t>17/08 To 23/08</t>
  </si>
  <si>
    <t>24/08 To 30/08</t>
  </si>
  <si>
    <t>31/08 To 06/09</t>
  </si>
  <si>
    <t>07/09 To 13/09</t>
  </si>
  <si>
    <t>14/09 To 20/09</t>
  </si>
  <si>
    <t>21/09 To 27/09</t>
  </si>
  <si>
    <t>28/09 To 04/10</t>
  </si>
  <si>
    <t>05/10 To 11/10</t>
  </si>
  <si>
    <t>12/10 To 18/10</t>
  </si>
  <si>
    <t>19/10 To 25/10</t>
  </si>
  <si>
    <t>26/10 To 01/11</t>
  </si>
  <si>
    <t>02/11 To 08/11</t>
  </si>
  <si>
    <t>09/11 To 15/11</t>
  </si>
  <si>
    <t>16/11 To 22/11</t>
  </si>
  <si>
    <t>23/11 To 29/11</t>
  </si>
  <si>
    <t>30/11 To 06/12</t>
  </si>
  <si>
    <t>07/12 To 13/12</t>
  </si>
  <si>
    <t>14/12 To 20/12</t>
  </si>
  <si>
    <t>21/12 To 27/12</t>
  </si>
  <si>
    <t>Year 2026</t>
  </si>
  <si>
    <t>Gross Sale</t>
  </si>
  <si>
    <t>Net Sale</t>
  </si>
  <si>
    <t>Vat</t>
  </si>
  <si>
    <t>Vat %</t>
  </si>
  <si>
    <t>Bidfood</t>
  </si>
  <si>
    <t>Bidfood %</t>
  </si>
  <si>
    <t>Labour Hour</t>
  </si>
  <si>
    <t>Labour Cost</t>
  </si>
  <si>
    <t>Labour %</t>
  </si>
  <si>
    <t>Kiosk %</t>
  </si>
  <si>
    <t>TOTAL COGS</t>
  </si>
  <si>
    <t>Rev Score Q1</t>
  </si>
  <si>
    <t>Camden</t>
  </si>
  <si>
    <t>17 &amp; Central</t>
  </si>
  <si>
    <t>Year 2025</t>
  </si>
  <si>
    <t>Paddigton</t>
  </si>
  <si>
    <t>Borough</t>
  </si>
  <si>
    <t>Paddignton</t>
  </si>
</sst>
</file>

<file path=xl/styles.xml><?xml version="1.0" encoding="utf-8"?>
<styleSheet xmlns="http://schemas.openxmlformats.org/spreadsheetml/2006/main">
  <numFmts count="6">
    <numFmt numFmtId="8" formatCode="&quot;£&quot;#,##0.00;[Red]\-&quot;£&quot;#,##0.00"/>
    <numFmt numFmtId="164" formatCode="d/m/yyyy"/>
    <numFmt numFmtId="165" formatCode="0.00;[Red]0.00"/>
    <numFmt numFmtId="166" formatCode="&quot;£&quot;#,##0.00_);[Red]\(&quot;£&quot;#,##0.00\)"/>
    <numFmt numFmtId="167" formatCode="&quot;£&quot;#,##0.00"/>
    <numFmt numFmtId="168" formatCode="_-&quot;£&quot;* #,##0.00_-;\-&quot;£&quot;* #,##0.00_-;_-&quot;£&quot;* &quot;-&quot;??_-;_-@"/>
  </numFmts>
  <fonts count="19">
    <font>
      <sz val="12"/>
      <color theme="1"/>
      <name val="Calibri"/>
      <scheme val="minor"/>
    </font>
    <font>
      <b/>
      <sz val="12"/>
      <color rgb="FF0070C0"/>
      <name val="Calibri"/>
    </font>
    <font>
      <sz val="12"/>
      <name val="Calibri"/>
    </font>
    <font>
      <b/>
      <sz val="20"/>
      <color theme="1"/>
      <name val="Calibri"/>
    </font>
    <font>
      <b/>
      <sz val="12"/>
      <color theme="1"/>
      <name val="Calibri"/>
    </font>
    <font>
      <b/>
      <sz val="12"/>
      <color rgb="FFFF0000"/>
      <name val="Calibri"/>
    </font>
    <font>
      <b/>
      <sz val="12"/>
      <color theme="1"/>
      <name val="Calibri"/>
      <family val="2"/>
    </font>
    <font>
      <sz val="11"/>
      <color rgb="FF006100"/>
      <name val="Calibri"/>
    </font>
    <font>
      <sz val="12"/>
      <color theme="1"/>
      <name val="Calibri"/>
    </font>
    <font>
      <sz val="12"/>
      <color rgb="FFFF0000"/>
      <name val="Calibri"/>
    </font>
    <font>
      <sz val="12"/>
      <color rgb="FFE36C09"/>
      <name val="Calibri"/>
    </font>
    <font>
      <b/>
      <sz val="12"/>
      <color rgb="FFE36C09"/>
      <name val="Calibri"/>
    </font>
    <font>
      <b/>
      <sz val="20"/>
      <color rgb="FFE36C09"/>
      <name val="Calibri"/>
    </font>
    <font>
      <b/>
      <sz val="14"/>
      <color theme="1"/>
      <name val="Calibri"/>
      <family val="2"/>
    </font>
    <font>
      <b/>
      <sz val="14"/>
      <color theme="1"/>
      <name val="Calibri"/>
    </font>
    <font>
      <b/>
      <sz val="12"/>
      <color rgb="FF0000FF"/>
      <name val="Calibri"/>
    </font>
    <font>
      <b/>
      <sz val="12"/>
      <color rgb="FF0000FF"/>
      <name val="Calibri"/>
      <scheme val="minor"/>
    </font>
    <font>
      <b/>
      <sz val="16"/>
      <color theme="1"/>
      <name val="Calibri"/>
    </font>
    <font>
      <b/>
      <sz val="16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6">
    <xf numFmtId="0" fontId="0" fillId="0" borderId="0" xfId="0"/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0" xfId="0" applyFont="1" applyFill="1" applyBorder="1"/>
    <xf numFmtId="0" fontId="4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/>
    <xf numFmtId="0" fontId="8" fillId="0" borderId="18" xfId="0" applyFont="1" applyBorder="1"/>
    <xf numFmtId="0" fontId="4" fillId="0" borderId="19" xfId="0" applyFont="1" applyBorder="1" applyAlignment="1">
      <alignment vertical="center"/>
    </xf>
    <xf numFmtId="165" fontId="8" fillId="0" borderId="20" xfId="0" applyNumberFormat="1" applyFont="1" applyBorder="1" applyAlignment="1">
      <alignment vertical="center"/>
    </xf>
    <xf numFmtId="165" fontId="8" fillId="0" borderId="21" xfId="0" applyNumberFormat="1" applyFont="1" applyBorder="1" applyAlignment="1">
      <alignment vertical="center"/>
    </xf>
    <xf numFmtId="10" fontId="8" fillId="0" borderId="21" xfId="0" applyNumberFormat="1" applyFont="1" applyBorder="1" applyAlignment="1">
      <alignment vertical="center"/>
    </xf>
    <xf numFmtId="2" fontId="9" fillId="0" borderId="22" xfId="0" applyNumberFormat="1" applyFont="1" applyBorder="1" applyAlignment="1">
      <alignment vertical="center"/>
    </xf>
    <xf numFmtId="165" fontId="8" fillId="0" borderId="22" xfId="0" applyNumberFormat="1" applyFont="1" applyBorder="1" applyAlignment="1">
      <alignment vertical="center"/>
    </xf>
    <xf numFmtId="165" fontId="8" fillId="0" borderId="18" xfId="0" applyNumberFormat="1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10" fontId="8" fillId="0" borderId="18" xfId="0" applyNumberFormat="1" applyFont="1" applyBorder="1" applyAlignment="1">
      <alignment vertical="center"/>
    </xf>
    <xf numFmtId="10" fontId="8" fillId="0" borderId="22" xfId="0" applyNumberFormat="1" applyFont="1" applyBorder="1" applyAlignment="1">
      <alignment vertical="center"/>
    </xf>
    <xf numFmtId="10" fontId="8" fillId="0" borderId="23" xfId="0" applyNumberFormat="1" applyFont="1" applyBorder="1" applyAlignment="1">
      <alignment vertical="center"/>
    </xf>
    <xf numFmtId="10" fontId="8" fillId="0" borderId="17" xfId="0" applyNumberFormat="1" applyFont="1" applyBorder="1"/>
    <xf numFmtId="10" fontId="8" fillId="0" borderId="18" xfId="0" applyNumberFormat="1" applyFont="1" applyBorder="1"/>
    <xf numFmtId="165" fontId="8" fillId="0" borderId="0" xfId="0" applyNumberFormat="1" applyFont="1"/>
    <xf numFmtId="165" fontId="8" fillId="3" borderId="21" xfId="0" applyNumberFormat="1" applyFont="1" applyFill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165" fontId="8" fillId="0" borderId="17" xfId="0" applyNumberFormat="1" applyFont="1" applyBorder="1" applyAlignment="1">
      <alignment vertical="center"/>
    </xf>
    <xf numFmtId="165" fontId="8" fillId="0" borderId="24" xfId="0" applyNumberFormat="1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4" fillId="0" borderId="27" xfId="0" applyNumberFormat="1" applyFont="1" applyBorder="1" applyAlignment="1">
      <alignment vertical="center"/>
    </xf>
    <xf numFmtId="10" fontId="4" fillId="0" borderId="27" xfId="0" applyNumberFormat="1" applyFont="1" applyBorder="1" applyAlignment="1">
      <alignment vertical="center"/>
    </xf>
    <xf numFmtId="2" fontId="5" fillId="0" borderId="28" xfId="0" applyNumberFormat="1" applyFont="1" applyBorder="1" applyAlignment="1">
      <alignment vertical="center"/>
    </xf>
    <xf numFmtId="165" fontId="4" fillId="0" borderId="28" xfId="0" applyNumberFormat="1" applyFont="1" applyBorder="1" applyAlignment="1">
      <alignment vertical="center"/>
    </xf>
    <xf numFmtId="165" fontId="4" fillId="0" borderId="29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10" fontId="4" fillId="0" borderId="30" xfId="0" applyNumberFormat="1" applyFont="1" applyBorder="1" applyAlignment="1">
      <alignment vertical="center"/>
    </xf>
    <xf numFmtId="10" fontId="4" fillId="0" borderId="28" xfId="0" applyNumberFormat="1" applyFont="1" applyBorder="1" applyAlignment="1">
      <alignment vertical="center"/>
    </xf>
    <xf numFmtId="10" fontId="4" fillId="0" borderId="31" xfId="0" applyNumberFormat="1" applyFont="1" applyBorder="1" applyAlignment="1">
      <alignment vertical="center"/>
    </xf>
    <xf numFmtId="10" fontId="8" fillId="0" borderId="29" xfId="0" applyNumberFormat="1" applyFont="1" applyBorder="1"/>
    <xf numFmtId="10" fontId="8" fillId="0" borderId="30" xfId="0" applyNumberFormat="1" applyFont="1" applyBorder="1"/>
    <xf numFmtId="0" fontId="8" fillId="0" borderId="32" xfId="0" applyFont="1" applyBorder="1"/>
    <xf numFmtId="0" fontId="10" fillId="0" borderId="33" xfId="0" applyFont="1" applyBorder="1"/>
    <xf numFmtId="0" fontId="11" fillId="0" borderId="7" xfId="0" applyFont="1" applyBorder="1" applyAlignment="1">
      <alignment horizontal="center" vertical="center"/>
    </xf>
    <xf numFmtId="0" fontId="2" fillId="0" borderId="34" xfId="0" applyFont="1" applyBorder="1"/>
    <xf numFmtId="0" fontId="11" fillId="0" borderId="35" xfId="0" applyFont="1" applyBorder="1" applyAlignment="1">
      <alignment vertical="center" wrapText="1"/>
    </xf>
    <xf numFmtId="0" fontId="10" fillId="0" borderId="35" xfId="0" applyFont="1" applyBorder="1"/>
    <xf numFmtId="0" fontId="10" fillId="0" borderId="36" xfId="0" applyFont="1" applyBorder="1"/>
    <xf numFmtId="0" fontId="10" fillId="0" borderId="0" xfId="0" applyFont="1"/>
    <xf numFmtId="0" fontId="12" fillId="0" borderId="3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" fillId="0" borderId="32" xfId="0" applyFont="1" applyBorder="1"/>
    <xf numFmtId="0" fontId="11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165" fontId="10" fillId="0" borderId="20" xfId="0" applyNumberFormat="1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/>
    <xf numFmtId="0" fontId="10" fillId="0" borderId="18" xfId="0" applyFont="1" applyBorder="1"/>
    <xf numFmtId="0" fontId="11" fillId="0" borderId="19" xfId="0" applyFont="1" applyBorder="1" applyAlignment="1">
      <alignment vertical="center"/>
    </xf>
    <xf numFmtId="10" fontId="10" fillId="0" borderId="21" xfId="0" applyNumberFormat="1" applyFont="1" applyBorder="1" applyAlignment="1">
      <alignment vertical="center"/>
    </xf>
    <xf numFmtId="2" fontId="10" fillId="0" borderId="22" xfId="0" applyNumberFormat="1" applyFont="1" applyBorder="1" applyAlignment="1">
      <alignment vertical="center"/>
    </xf>
    <xf numFmtId="165" fontId="10" fillId="0" borderId="22" xfId="0" applyNumberFormat="1" applyFont="1" applyBorder="1" applyAlignment="1">
      <alignment vertical="center"/>
    </xf>
    <xf numFmtId="165" fontId="10" fillId="0" borderId="21" xfId="0" applyNumberFormat="1" applyFont="1" applyBorder="1" applyAlignment="1">
      <alignment vertical="center"/>
    </xf>
    <xf numFmtId="165" fontId="10" fillId="0" borderId="18" xfId="0" applyNumberFormat="1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10" fontId="10" fillId="0" borderId="18" xfId="0" applyNumberFormat="1" applyFont="1" applyBorder="1" applyAlignment="1">
      <alignment vertical="center"/>
    </xf>
    <xf numFmtId="10" fontId="11" fillId="0" borderId="28" xfId="0" applyNumberFormat="1" applyFont="1" applyBorder="1" applyAlignment="1">
      <alignment vertical="center"/>
    </xf>
    <xf numFmtId="10" fontId="10" fillId="0" borderId="23" xfId="0" applyNumberFormat="1" applyFont="1" applyBorder="1" applyAlignment="1">
      <alignment vertical="center"/>
    </xf>
    <xf numFmtId="10" fontId="10" fillId="0" borderId="17" xfId="0" applyNumberFormat="1" applyFont="1" applyBorder="1"/>
    <xf numFmtId="165" fontId="10" fillId="3" borderId="21" xfId="0" applyNumberFormat="1" applyFont="1" applyFill="1" applyBorder="1" applyAlignment="1">
      <alignment vertical="center"/>
    </xf>
    <xf numFmtId="0" fontId="10" fillId="3" borderId="18" xfId="0" applyFont="1" applyFill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165" fontId="10" fillId="0" borderId="17" xfId="0" applyNumberFormat="1" applyFont="1" applyBorder="1" applyAlignment="1">
      <alignment vertical="center"/>
    </xf>
    <xf numFmtId="165" fontId="10" fillId="0" borderId="24" xfId="0" applyNumberFormat="1" applyFont="1" applyBorder="1" applyAlignment="1">
      <alignment vertical="center"/>
    </xf>
    <xf numFmtId="10" fontId="10" fillId="0" borderId="22" xfId="0" applyNumberFormat="1" applyFont="1" applyBorder="1" applyAlignment="1">
      <alignment vertical="center"/>
    </xf>
    <xf numFmtId="10" fontId="10" fillId="0" borderId="18" xfId="0" applyNumberFormat="1" applyFont="1" applyBorder="1"/>
    <xf numFmtId="0" fontId="2" fillId="0" borderId="37" xfId="0" applyFont="1" applyBorder="1"/>
    <xf numFmtId="0" fontId="11" fillId="0" borderId="25" xfId="0" applyFont="1" applyBorder="1" applyAlignment="1">
      <alignment vertical="center"/>
    </xf>
    <xf numFmtId="165" fontId="11" fillId="0" borderId="26" xfId="0" applyNumberFormat="1" applyFont="1" applyBorder="1" applyAlignment="1">
      <alignment vertical="center"/>
    </xf>
    <xf numFmtId="165" fontId="11" fillId="0" borderId="27" xfId="0" applyNumberFormat="1" applyFont="1" applyBorder="1" applyAlignment="1">
      <alignment vertical="center"/>
    </xf>
    <xf numFmtId="10" fontId="11" fillId="0" borderId="27" xfId="0" applyNumberFormat="1" applyFont="1" applyBorder="1" applyAlignment="1">
      <alignment vertical="center"/>
    </xf>
    <xf numFmtId="2" fontId="11" fillId="0" borderId="28" xfId="0" applyNumberFormat="1" applyFont="1" applyBorder="1" applyAlignment="1">
      <alignment vertical="center"/>
    </xf>
    <xf numFmtId="165" fontId="11" fillId="0" borderId="28" xfId="0" applyNumberFormat="1" applyFont="1" applyBorder="1" applyAlignment="1">
      <alignment vertical="center"/>
    </xf>
    <xf numFmtId="165" fontId="11" fillId="0" borderId="29" xfId="0" applyNumberFormat="1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10" fontId="11" fillId="0" borderId="30" xfId="0" applyNumberFormat="1" applyFont="1" applyBorder="1" applyAlignment="1">
      <alignment vertical="center"/>
    </xf>
    <xf numFmtId="10" fontId="11" fillId="0" borderId="31" xfId="0" applyNumberFormat="1" applyFont="1" applyBorder="1" applyAlignment="1">
      <alignment vertical="center"/>
    </xf>
    <xf numFmtId="10" fontId="10" fillId="0" borderId="29" xfId="0" applyNumberFormat="1" applyFont="1" applyBorder="1"/>
    <xf numFmtId="10" fontId="10" fillId="0" borderId="30" xfId="0" applyNumberFormat="1" applyFont="1" applyBorder="1"/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0" fontId="8" fillId="0" borderId="0" xfId="0" applyNumberFormat="1" applyFont="1"/>
    <xf numFmtId="0" fontId="13" fillId="0" borderId="0" xfId="0" applyFont="1" applyBorder="1" applyAlignment="1">
      <alignment horizontal="center" wrapText="1"/>
    </xf>
    <xf numFmtId="0" fontId="14" fillId="0" borderId="38" xfId="0" applyFont="1" applyBorder="1" applyAlignment="1">
      <alignment horizontal="center" wrapText="1"/>
    </xf>
    <xf numFmtId="0" fontId="14" fillId="0" borderId="38" xfId="0" applyFont="1" applyBorder="1"/>
    <xf numFmtId="0" fontId="14" fillId="0" borderId="38" xfId="0" applyFont="1" applyBorder="1" applyAlignment="1">
      <alignment wrapText="1"/>
    </xf>
    <xf numFmtId="0" fontId="14" fillId="0" borderId="0" xfId="0" applyFont="1"/>
    <xf numFmtId="0" fontId="8" fillId="0" borderId="0" xfId="0" applyFont="1"/>
    <xf numFmtId="0" fontId="4" fillId="0" borderId="39" xfId="0" applyFont="1" applyBorder="1" applyAlignment="1">
      <alignment horizontal="center"/>
    </xf>
    <xf numFmtId="0" fontId="0" fillId="0" borderId="40" xfId="0" applyFont="1" applyBorder="1" applyAlignment="1"/>
    <xf numFmtId="0" fontId="0" fillId="0" borderId="41" xfId="0" applyFont="1" applyBorder="1" applyAlignment="1"/>
    <xf numFmtId="0" fontId="4" fillId="0" borderId="42" xfId="0" applyFont="1" applyBorder="1" applyAlignment="1">
      <alignment horizontal="center"/>
    </xf>
    <xf numFmtId="0" fontId="8" fillId="0" borderId="43" xfId="0" applyFont="1" applyBorder="1"/>
    <xf numFmtId="8" fontId="8" fillId="0" borderId="44" xfId="0" applyNumberFormat="1" applyFont="1" applyBorder="1"/>
    <xf numFmtId="166" fontId="8" fillId="0" borderId="44" xfId="0" applyNumberFormat="1" applyFont="1" applyBorder="1"/>
    <xf numFmtId="167" fontId="8" fillId="0" borderId="44" xfId="0" applyNumberFormat="1" applyFont="1" applyBorder="1"/>
    <xf numFmtId="10" fontId="8" fillId="0" borderId="44" xfId="0" applyNumberFormat="1" applyFont="1" applyBorder="1"/>
    <xf numFmtId="8" fontId="8" fillId="0" borderId="45" xfId="0" applyNumberFormat="1" applyFont="1" applyBorder="1"/>
    <xf numFmtId="8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46" xfId="0" applyFont="1" applyBorder="1"/>
    <xf numFmtId="8" fontId="8" fillId="0" borderId="47" xfId="0" applyNumberFormat="1" applyFont="1" applyBorder="1"/>
    <xf numFmtId="166" fontId="8" fillId="0" borderId="47" xfId="0" applyNumberFormat="1" applyFont="1" applyBorder="1"/>
    <xf numFmtId="167" fontId="8" fillId="0" borderId="47" xfId="0" applyNumberFormat="1" applyFont="1" applyBorder="1"/>
    <xf numFmtId="10" fontId="8" fillId="0" borderId="47" xfId="0" applyNumberFormat="1" applyFont="1" applyBorder="1"/>
    <xf numFmtId="0" fontId="0" fillId="0" borderId="47" xfId="0" applyFont="1" applyBorder="1" applyAlignment="1"/>
    <xf numFmtId="8" fontId="8" fillId="0" borderId="48" xfId="0" applyNumberFormat="1" applyFont="1" applyBorder="1"/>
    <xf numFmtId="0" fontId="9" fillId="0" borderId="0" xfId="0" applyFont="1"/>
    <xf numFmtId="16" fontId="8" fillId="0" borderId="46" xfId="0" applyNumberFormat="1" applyFont="1" applyBorder="1"/>
    <xf numFmtId="168" fontId="8" fillId="0" borderId="0" xfId="0" applyNumberFormat="1" applyFont="1"/>
    <xf numFmtId="0" fontId="8" fillId="0" borderId="46" xfId="0" applyFont="1" applyBorder="1" applyAlignment="1"/>
    <xf numFmtId="8" fontId="8" fillId="0" borderId="47" xfId="0" applyNumberFormat="1" applyFont="1" applyBorder="1" applyAlignment="1">
      <alignment horizontal="right"/>
    </xf>
    <xf numFmtId="166" fontId="8" fillId="0" borderId="47" xfId="0" applyNumberFormat="1" applyFont="1" applyBorder="1" applyAlignment="1">
      <alignment horizontal="right"/>
    </xf>
    <xf numFmtId="10" fontId="8" fillId="0" borderId="47" xfId="0" applyNumberFormat="1" applyFont="1" applyBorder="1" applyAlignment="1">
      <alignment horizontal="right"/>
    </xf>
    <xf numFmtId="0" fontId="8" fillId="0" borderId="47" xfId="0" applyFont="1" applyBorder="1" applyAlignment="1"/>
    <xf numFmtId="8" fontId="8" fillId="0" borderId="48" xfId="0" applyNumberFormat="1" applyFont="1" applyBorder="1" applyAlignment="1">
      <alignment horizontal="right"/>
    </xf>
    <xf numFmtId="165" fontId="8" fillId="0" borderId="0" xfId="0" applyNumberFormat="1" applyFont="1" applyAlignment="1"/>
    <xf numFmtId="0" fontId="8" fillId="0" borderId="0" xfId="0" applyFont="1" applyAlignment="1"/>
    <xf numFmtId="0" fontId="4" fillId="0" borderId="49" xfId="0" applyFont="1" applyBorder="1" applyAlignment="1">
      <alignment horizontal="center"/>
    </xf>
    <xf numFmtId="0" fontId="8" fillId="0" borderId="50" xfId="0" applyFont="1" applyBorder="1" applyAlignment="1"/>
    <xf numFmtId="8" fontId="8" fillId="0" borderId="51" xfId="0" applyNumberFormat="1" applyFont="1" applyBorder="1"/>
    <xf numFmtId="8" fontId="8" fillId="0" borderId="51" xfId="0" applyNumberFormat="1" applyFont="1" applyBorder="1" applyAlignment="1">
      <alignment horizontal="right"/>
    </xf>
    <xf numFmtId="166" fontId="8" fillId="0" borderId="51" xfId="0" applyNumberFormat="1" applyFont="1" applyBorder="1" applyAlignment="1">
      <alignment horizontal="right"/>
    </xf>
    <xf numFmtId="167" fontId="8" fillId="0" borderId="51" xfId="0" applyNumberFormat="1" applyFont="1" applyBorder="1"/>
    <xf numFmtId="10" fontId="8" fillId="0" borderId="51" xfId="0" applyNumberFormat="1" applyFont="1" applyBorder="1" applyAlignment="1">
      <alignment horizontal="right"/>
    </xf>
    <xf numFmtId="0" fontId="8" fillId="0" borderId="51" xfId="0" applyFont="1" applyBorder="1" applyAlignment="1"/>
    <xf numFmtId="8" fontId="8" fillId="0" borderId="52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0" fillId="0" borderId="53" xfId="0" applyFont="1" applyBorder="1" applyAlignment="1"/>
    <xf numFmtId="0" fontId="4" fillId="0" borderId="0" xfId="0" applyFont="1" applyAlignment="1">
      <alignment horizontal="center"/>
    </xf>
    <xf numFmtId="0" fontId="0" fillId="0" borderId="38" xfId="0" applyFont="1" applyBorder="1" applyAlignment="1"/>
    <xf numFmtId="167" fontId="8" fillId="0" borderId="0" xfId="0" applyNumberFormat="1" applyFont="1"/>
    <xf numFmtId="0" fontId="15" fillId="0" borderId="0" xfId="0" applyFont="1" applyAlignment="1">
      <alignment horizontal="center" wrapText="1"/>
    </xf>
    <xf numFmtId="0" fontId="16" fillId="0" borderId="54" xfId="0" applyFont="1" applyBorder="1" applyAlignment="1">
      <alignment wrapText="1"/>
    </xf>
    <xf numFmtId="0" fontId="16" fillId="0" borderId="55" xfId="0" applyFont="1" applyBorder="1"/>
    <xf numFmtId="10" fontId="16" fillId="0" borderId="55" xfId="0" applyNumberFormat="1" applyFont="1" applyBorder="1"/>
    <xf numFmtId="0" fontId="16" fillId="0" borderId="56" xfId="0" applyFont="1" applyBorder="1"/>
    <xf numFmtId="17" fontId="17" fillId="0" borderId="57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/>
    <xf numFmtId="0" fontId="8" fillId="0" borderId="19" xfId="0" applyFont="1" applyBorder="1"/>
    <xf numFmtId="0" fontId="8" fillId="0" borderId="20" xfId="0" applyFont="1" applyBorder="1"/>
    <xf numFmtId="2" fontId="8" fillId="0" borderId="21" xfId="0" applyNumberFormat="1" applyFont="1" applyBorder="1"/>
    <xf numFmtId="2" fontId="8" fillId="0" borderId="21" xfId="0" applyNumberFormat="1" applyFont="1" applyBorder="1" applyAlignment="1">
      <alignment vertical="center"/>
    </xf>
    <xf numFmtId="10" fontId="8" fillId="0" borderId="20" xfId="0" applyNumberFormat="1" applyFont="1" applyBorder="1"/>
    <xf numFmtId="10" fontId="4" fillId="0" borderId="19" xfId="0" applyNumberFormat="1" applyFont="1" applyBorder="1"/>
    <xf numFmtId="0" fontId="4" fillId="0" borderId="29" xfId="0" applyFont="1" applyBorder="1" applyAlignment="1">
      <alignment vertical="center"/>
    </xf>
    <xf numFmtId="2" fontId="8" fillId="0" borderId="27" xfId="0" applyNumberFormat="1" applyFont="1" applyBorder="1"/>
    <xf numFmtId="0" fontId="8" fillId="0" borderId="27" xfId="0" applyFont="1" applyBorder="1"/>
    <xf numFmtId="10" fontId="8" fillId="0" borderId="30" xfId="0" applyNumberFormat="1" applyFont="1" applyBorder="1" applyAlignment="1">
      <alignment vertical="center"/>
    </xf>
    <xf numFmtId="10" fontId="8" fillId="0" borderId="28" xfId="0" applyNumberFormat="1" applyFont="1" applyBorder="1" applyAlignment="1">
      <alignment vertical="center"/>
    </xf>
    <xf numFmtId="0" fontId="8" fillId="0" borderId="25" xfId="0" applyFont="1" applyBorder="1"/>
    <xf numFmtId="10" fontId="8" fillId="0" borderId="26" xfId="0" applyNumberFormat="1" applyFont="1" applyBorder="1"/>
    <xf numFmtId="0" fontId="4" fillId="0" borderId="8" xfId="0" applyFont="1" applyBorder="1" applyAlignment="1">
      <alignment vertical="center"/>
    </xf>
    <xf numFmtId="2" fontId="8" fillId="0" borderId="12" xfId="0" applyNumberFormat="1" applyFont="1" applyBorder="1"/>
    <xf numFmtId="2" fontId="8" fillId="0" borderId="12" xfId="0" applyNumberFormat="1" applyFont="1" applyBorder="1" applyAlignment="1">
      <alignment vertical="center"/>
    </xf>
    <xf numFmtId="0" fontId="8" fillId="0" borderId="12" xfId="0" applyFont="1" applyBorder="1"/>
    <xf numFmtId="10" fontId="8" fillId="0" borderId="12" xfId="0" applyNumberFormat="1" applyFont="1" applyBorder="1" applyAlignment="1">
      <alignment vertical="center"/>
    </xf>
    <xf numFmtId="10" fontId="8" fillId="0" borderId="13" xfId="0" applyNumberFormat="1" applyFont="1" applyBorder="1" applyAlignment="1">
      <alignment vertical="center"/>
    </xf>
    <xf numFmtId="0" fontId="8" fillId="0" borderId="58" xfId="0" applyFont="1" applyBorder="1"/>
    <xf numFmtId="10" fontId="8" fillId="0" borderId="11" xfId="0" applyNumberFormat="1" applyFont="1" applyBorder="1"/>
    <xf numFmtId="10" fontId="8" fillId="0" borderId="9" xfId="0" applyNumberFormat="1" applyFont="1" applyBorder="1"/>
    <xf numFmtId="0" fontId="4" fillId="0" borderId="59" xfId="0" applyFont="1" applyBorder="1" applyAlignment="1">
      <alignment vertical="center"/>
    </xf>
    <xf numFmtId="2" fontId="8" fillId="0" borderId="60" xfId="0" applyNumberFormat="1" applyFont="1" applyBorder="1"/>
    <xf numFmtId="2" fontId="8" fillId="0" borderId="60" xfId="0" applyNumberFormat="1" applyFont="1" applyBorder="1" applyAlignment="1">
      <alignment vertical="center"/>
    </xf>
    <xf numFmtId="0" fontId="8" fillId="0" borderId="60" xfId="0" applyFont="1" applyBorder="1"/>
    <xf numFmtId="10" fontId="8" fillId="0" borderId="60" xfId="0" applyNumberFormat="1" applyFont="1" applyBorder="1" applyAlignment="1">
      <alignment vertical="center"/>
    </xf>
    <xf numFmtId="10" fontId="8" fillId="0" borderId="61" xfId="0" applyNumberFormat="1" applyFont="1" applyBorder="1" applyAlignment="1">
      <alignment vertical="center"/>
    </xf>
    <xf numFmtId="0" fontId="8" fillId="4" borderId="7" xfId="0" applyFont="1" applyFill="1" applyBorder="1"/>
    <xf numFmtId="0" fontId="4" fillId="4" borderId="62" xfId="0" applyFont="1" applyFill="1" applyBorder="1" applyAlignment="1">
      <alignment vertical="center"/>
    </xf>
    <xf numFmtId="2" fontId="8" fillId="4" borderId="5" xfId="0" applyNumberFormat="1" applyFont="1" applyFill="1" applyBorder="1"/>
    <xf numFmtId="10" fontId="8" fillId="4" borderId="5" xfId="0" applyNumberFormat="1" applyFont="1" applyFill="1" applyBorder="1" applyAlignment="1">
      <alignment vertical="center"/>
    </xf>
    <xf numFmtId="0" fontId="8" fillId="4" borderId="5" xfId="0" applyFont="1" applyFill="1" applyBorder="1"/>
    <xf numFmtId="10" fontId="8" fillId="4" borderId="6" xfId="0" applyNumberFormat="1" applyFont="1" applyFill="1" applyBorder="1" applyAlignment="1">
      <alignment vertical="center"/>
    </xf>
    <xf numFmtId="0" fontId="8" fillId="4" borderId="25" xfId="0" applyFont="1" applyFill="1" applyBorder="1"/>
    <xf numFmtId="10" fontId="8" fillId="4" borderId="26" xfId="0" applyNumberFormat="1" applyFont="1" applyFill="1" applyBorder="1"/>
    <xf numFmtId="10" fontId="8" fillId="4" borderId="30" xfId="0" applyNumberFormat="1" applyFont="1" applyFill="1" applyBorder="1"/>
    <xf numFmtId="0" fontId="4" fillId="0" borderId="14" xfId="0" applyFont="1" applyBorder="1" applyAlignment="1">
      <alignment vertical="center"/>
    </xf>
    <xf numFmtId="2" fontId="8" fillId="0" borderId="14" xfId="0" applyNumberFormat="1" applyFont="1" applyBorder="1"/>
    <xf numFmtId="10" fontId="8" fillId="0" borderId="14" xfId="0" applyNumberFormat="1" applyFont="1" applyBorder="1" applyAlignment="1">
      <alignment vertical="center"/>
    </xf>
    <xf numFmtId="2" fontId="8" fillId="0" borderId="14" xfId="0" applyNumberFormat="1" applyFont="1" applyBorder="1" applyAlignment="1">
      <alignment vertical="center"/>
    </xf>
    <xf numFmtId="0" fontId="8" fillId="0" borderId="14" xfId="0" applyFont="1" applyBorder="1"/>
    <xf numFmtId="10" fontId="8" fillId="0" borderId="63" xfId="0" applyNumberFormat="1" applyFont="1" applyBorder="1" applyAlignment="1">
      <alignment vertical="center"/>
    </xf>
    <xf numFmtId="10" fontId="8" fillId="0" borderId="64" xfId="0" applyNumberFormat="1" applyFont="1" applyBorder="1" applyAlignment="1">
      <alignment vertical="center"/>
    </xf>
    <xf numFmtId="2" fontId="8" fillId="0" borderId="65" xfId="0" applyNumberFormat="1" applyFont="1" applyBorder="1"/>
    <xf numFmtId="17" fontId="17" fillId="0" borderId="6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8" fillId="0" borderId="2" xfId="0" applyNumberFormat="1" applyFont="1" applyBorder="1"/>
    <xf numFmtId="2" fontId="8" fillId="0" borderId="67" xfId="0" applyNumberFormat="1" applyFont="1" applyBorder="1"/>
    <xf numFmtId="10" fontId="8" fillId="0" borderId="68" xfId="0" applyNumberFormat="1" applyFont="1" applyBorder="1" applyAlignment="1">
      <alignment vertical="center"/>
    </xf>
    <xf numFmtId="2" fontId="8" fillId="0" borderId="68" xfId="0" applyNumberFormat="1" applyFont="1" applyBorder="1"/>
    <xf numFmtId="0" fontId="8" fillId="0" borderId="68" xfId="0" applyFont="1" applyBorder="1"/>
    <xf numFmtId="10" fontId="8" fillId="0" borderId="69" xfId="0" applyNumberFormat="1" applyFont="1" applyBorder="1" applyAlignment="1">
      <alignment vertical="center"/>
    </xf>
    <xf numFmtId="17" fontId="18" fillId="0" borderId="57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/>
    </xf>
    <xf numFmtId="0" fontId="9" fillId="0" borderId="21" xfId="0" applyFont="1" applyBorder="1"/>
    <xf numFmtId="0" fontId="9" fillId="0" borderId="22" xfId="0" applyFont="1" applyBorder="1"/>
    <xf numFmtId="0" fontId="9" fillId="0" borderId="10" xfId="0" applyFont="1" applyBorder="1"/>
    <xf numFmtId="2" fontId="9" fillId="0" borderId="21" xfId="0" applyNumberFormat="1" applyFont="1" applyBorder="1"/>
    <xf numFmtId="10" fontId="9" fillId="0" borderId="21" xfId="0" applyNumberFormat="1" applyFont="1" applyBorder="1" applyAlignment="1">
      <alignment vertical="center"/>
    </xf>
    <xf numFmtId="10" fontId="9" fillId="0" borderId="18" xfId="0" applyNumberFormat="1" applyFont="1" applyBorder="1" applyAlignment="1">
      <alignment vertical="center"/>
    </xf>
    <xf numFmtId="10" fontId="9" fillId="0" borderId="22" xfId="0" applyNumberFormat="1" applyFont="1" applyBorder="1" applyAlignment="1">
      <alignment vertical="center"/>
    </xf>
    <xf numFmtId="10" fontId="9" fillId="0" borderId="19" xfId="0" applyNumberFormat="1" applyFont="1" applyBorder="1"/>
    <xf numFmtId="0" fontId="9" fillId="0" borderId="19" xfId="0" applyFont="1" applyBorder="1"/>
    <xf numFmtId="0" fontId="5" fillId="0" borderId="29" xfId="0" applyFont="1" applyBorder="1" applyAlignment="1">
      <alignment vertical="center"/>
    </xf>
    <xf numFmtId="2" fontId="9" fillId="0" borderId="27" xfId="0" applyNumberFormat="1" applyFont="1" applyBorder="1"/>
    <xf numFmtId="10" fontId="9" fillId="0" borderId="27" xfId="0" applyNumberFormat="1" applyFont="1" applyBorder="1" applyAlignment="1">
      <alignment vertical="center"/>
    </xf>
    <xf numFmtId="10" fontId="9" fillId="0" borderId="30" xfId="0" applyNumberFormat="1" applyFont="1" applyBorder="1" applyAlignment="1">
      <alignment vertical="center"/>
    </xf>
    <xf numFmtId="0" fontId="9" fillId="0" borderId="27" xfId="0" applyFont="1" applyBorder="1"/>
    <xf numFmtId="10" fontId="9" fillId="0" borderId="28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2" fontId="9" fillId="0" borderId="12" xfId="0" applyNumberFormat="1" applyFont="1" applyBorder="1"/>
    <xf numFmtId="10" fontId="9" fillId="0" borderId="12" xfId="0" applyNumberFormat="1" applyFont="1" applyBorder="1" applyAlignment="1">
      <alignment vertical="center"/>
    </xf>
    <xf numFmtId="10" fontId="9" fillId="0" borderId="13" xfId="0" applyNumberFormat="1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2" fontId="9" fillId="0" borderId="60" xfId="0" applyNumberFormat="1" applyFont="1" applyBorder="1"/>
    <xf numFmtId="10" fontId="9" fillId="0" borderId="60" xfId="0" applyNumberFormat="1" applyFont="1" applyBorder="1" applyAlignment="1">
      <alignment vertical="center"/>
    </xf>
    <xf numFmtId="10" fontId="9" fillId="0" borderId="61" xfId="0" applyNumberFormat="1" applyFont="1" applyBorder="1" applyAlignment="1">
      <alignment vertical="center"/>
    </xf>
    <xf numFmtId="0" fontId="9" fillId="4" borderId="7" xfId="0" applyFont="1" applyFill="1" applyBorder="1"/>
    <xf numFmtId="0" fontId="5" fillId="4" borderId="62" xfId="0" applyFont="1" applyFill="1" applyBorder="1" applyAlignment="1">
      <alignment vertical="center"/>
    </xf>
    <xf numFmtId="2" fontId="9" fillId="4" borderId="5" xfId="0" applyNumberFormat="1" applyFont="1" applyFill="1" applyBorder="1"/>
    <xf numFmtId="10" fontId="9" fillId="4" borderId="5" xfId="0" applyNumberFormat="1" applyFont="1" applyFill="1" applyBorder="1" applyAlignment="1">
      <alignment vertical="center"/>
    </xf>
    <xf numFmtId="0" fontId="9" fillId="4" borderId="5" xfId="0" applyFont="1" applyFill="1" applyBorder="1"/>
    <xf numFmtId="10" fontId="9" fillId="4" borderId="6" xfId="0" applyNumberFormat="1" applyFont="1" applyFill="1" applyBorder="1" applyAlignment="1">
      <alignment vertical="center"/>
    </xf>
    <xf numFmtId="10" fontId="9" fillId="0" borderId="25" xfId="0" applyNumberFormat="1" applyFont="1" applyBorder="1"/>
    <xf numFmtId="0" fontId="9" fillId="0" borderId="63" xfId="0" applyFont="1" applyBorder="1" applyAlignment="1">
      <alignment vertical="center"/>
    </xf>
    <xf numFmtId="0" fontId="8" fillId="0" borderId="63" xfId="0" applyFont="1" applyBorder="1" applyAlignment="1">
      <alignment vertical="center"/>
    </xf>
    <xf numFmtId="0" fontId="8" fillId="0" borderId="64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092"/>
  <sheetViews>
    <sheetView topLeftCell="A47" zoomScale="70" zoomScaleNormal="70" workbookViewId="0">
      <selection activeCell="D47" sqref="D47"/>
    </sheetView>
  </sheetViews>
  <sheetFormatPr defaultColWidth="11.25" defaultRowHeight="15" customHeight="1"/>
  <cols>
    <col min="1" max="1" width="6.08203125" style="1" customWidth="1"/>
    <col min="2" max="2" width="12.58203125" style="1" customWidth="1"/>
    <col min="3" max="3" width="12.33203125" style="1" customWidth="1"/>
    <col min="4" max="5" width="10.58203125" style="1" customWidth="1"/>
    <col min="6" max="6" width="11.6640625" style="1" customWidth="1"/>
    <col min="7" max="7" width="10.58203125" style="1" customWidth="1"/>
    <col min="8" max="8" width="11.33203125" style="1" customWidth="1"/>
    <col min="9" max="38" width="10.58203125" style="1" customWidth="1"/>
    <col min="39" max="39" width="8.58203125" style="1" customWidth="1"/>
    <col min="40" max="40" width="11.25" style="1"/>
    <col min="41" max="41" width="12.4140625" style="1" customWidth="1"/>
    <col min="42" max="42" width="11.58203125" style="1" customWidth="1"/>
    <col min="43" max="43" width="11.4140625" style="1" customWidth="1"/>
    <col min="44" max="16384" width="11.25" style="1"/>
  </cols>
  <sheetData>
    <row r="1" spans="1:43" ht="16" thickBot="1">
      <c r="B1" s="2" t="s">
        <v>0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43" ht="47" thickBot="1">
      <c r="A2" s="5">
        <v>1</v>
      </c>
      <c r="B2" s="6" t="s">
        <v>1</v>
      </c>
      <c r="C2" s="7" t="s">
        <v>2</v>
      </c>
      <c r="D2" s="8" t="s">
        <v>3</v>
      </c>
      <c r="E2" s="8" t="s">
        <v>4</v>
      </c>
      <c r="F2" s="9" t="s">
        <v>5</v>
      </c>
      <c r="G2" s="10" t="s">
        <v>6</v>
      </c>
      <c r="H2" s="8" t="s">
        <v>7</v>
      </c>
      <c r="I2" s="8" t="s">
        <v>8</v>
      </c>
      <c r="J2" s="7" t="s">
        <v>9</v>
      </c>
      <c r="K2" s="7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12</v>
      </c>
      <c r="T2" s="8" t="s">
        <v>18</v>
      </c>
      <c r="U2" s="8" t="s">
        <v>14</v>
      </c>
      <c r="V2" s="11" t="s">
        <v>19</v>
      </c>
      <c r="W2" s="8" t="s">
        <v>20</v>
      </c>
      <c r="X2" s="8" t="s">
        <v>21</v>
      </c>
      <c r="Y2" s="8" t="s">
        <v>22</v>
      </c>
      <c r="Z2" s="8" t="s">
        <v>12</v>
      </c>
      <c r="AA2" s="8" t="s">
        <v>23</v>
      </c>
      <c r="AB2" s="8" t="s">
        <v>14</v>
      </c>
      <c r="AC2" s="8" t="s">
        <v>15</v>
      </c>
      <c r="AD2" s="8" t="s">
        <v>24</v>
      </c>
      <c r="AE2" s="8" t="s">
        <v>25</v>
      </c>
      <c r="AF2" s="8" t="s">
        <v>26</v>
      </c>
      <c r="AG2" s="8" t="s">
        <v>27</v>
      </c>
      <c r="AH2" s="8" t="s">
        <v>28</v>
      </c>
      <c r="AI2" s="8" t="s">
        <v>29</v>
      </c>
      <c r="AJ2" s="10" t="s">
        <v>30</v>
      </c>
      <c r="AK2" s="12" t="s">
        <v>31</v>
      </c>
      <c r="AL2" s="13" t="s">
        <v>32</v>
      </c>
      <c r="AM2" s="14" t="s">
        <v>33</v>
      </c>
      <c r="AN2" s="15" t="s">
        <v>34</v>
      </c>
      <c r="AO2" s="16">
        <v>46020</v>
      </c>
      <c r="AP2" s="17"/>
    </row>
    <row r="3" spans="1:43" ht="15.5">
      <c r="A3" s="18"/>
      <c r="B3" s="19"/>
      <c r="C3" s="20"/>
      <c r="D3" s="21"/>
      <c r="E3" s="21"/>
      <c r="F3" s="22"/>
      <c r="G3" s="23"/>
      <c r="H3" s="24"/>
      <c r="I3" s="24"/>
      <c r="J3" s="25"/>
      <c r="K3" s="20"/>
      <c r="L3" s="21"/>
      <c r="M3" s="21"/>
      <c r="N3" s="21"/>
      <c r="O3" s="21"/>
      <c r="P3" s="26"/>
      <c r="Q3" s="27"/>
      <c r="R3" s="21"/>
      <c r="S3" s="21"/>
      <c r="T3" s="21"/>
      <c r="U3" s="21"/>
      <c r="V3" s="21"/>
      <c r="W3" s="26"/>
      <c r="X3" s="27"/>
      <c r="Y3" s="21"/>
      <c r="Z3" s="21"/>
      <c r="AA3" s="21"/>
      <c r="AB3" s="21"/>
      <c r="AC3" s="21"/>
      <c r="AD3" s="21"/>
      <c r="AE3" s="26"/>
      <c r="AF3" s="27"/>
      <c r="AG3" s="21"/>
      <c r="AH3" s="26"/>
      <c r="AI3" s="27"/>
      <c r="AJ3" s="23"/>
      <c r="AK3" s="28"/>
      <c r="AL3" s="29"/>
      <c r="AM3" s="30"/>
    </row>
    <row r="4" spans="1:43" ht="15.5">
      <c r="B4" s="31" t="s">
        <v>136</v>
      </c>
      <c r="C4" s="32">
        <v>2000</v>
      </c>
      <c r="D4" s="33">
        <v>300</v>
      </c>
      <c r="E4" s="34">
        <f t="shared" ref="E4" si="0">D4%/G4*100</f>
        <v>0.17647058823529413</v>
      </c>
      <c r="F4" s="35">
        <f t="shared" ref="F4" si="1">C4*0.12</f>
        <v>240</v>
      </c>
      <c r="G4" s="36">
        <f t="shared" ref="G4" si="2">C4-D4</f>
        <v>1700</v>
      </c>
      <c r="H4" s="34">
        <f t="shared" ref="H4" si="3">I4%/C4*100</f>
        <v>0.3</v>
      </c>
      <c r="I4" s="33">
        <f t="shared" ref="I4" si="4">SUM(K4+Q4+X4)</f>
        <v>600</v>
      </c>
      <c r="J4" s="32">
        <v>100</v>
      </c>
      <c r="K4" s="32">
        <v>200</v>
      </c>
      <c r="L4" s="33">
        <v>20</v>
      </c>
      <c r="M4" s="33">
        <v>5</v>
      </c>
      <c r="N4" s="33">
        <f t="shared" ref="N4" si="5">K4-L4-M4</f>
        <v>175</v>
      </c>
      <c r="O4" s="33">
        <v>0</v>
      </c>
      <c r="P4" s="37"/>
      <c r="Q4" s="33">
        <v>200</v>
      </c>
      <c r="R4" s="33">
        <v>20</v>
      </c>
      <c r="S4" s="33">
        <v>5</v>
      </c>
      <c r="T4" s="33">
        <f t="shared" ref="T4" si="6">Q4-R4-S4</f>
        <v>175</v>
      </c>
      <c r="U4" s="33">
        <v>0</v>
      </c>
      <c r="V4" s="33">
        <v>65.59</v>
      </c>
      <c r="W4" s="38">
        <v>0</v>
      </c>
      <c r="X4" s="33">
        <v>200</v>
      </c>
      <c r="Y4" s="33">
        <v>20</v>
      </c>
      <c r="Z4" s="33">
        <v>5</v>
      </c>
      <c r="AA4" s="33">
        <f t="shared" ref="AA4" si="7">X4-Y4-Z4</f>
        <v>175</v>
      </c>
      <c r="AB4" s="33">
        <v>0</v>
      </c>
      <c r="AC4" s="33"/>
      <c r="AD4" s="33">
        <f t="shared" ref="AD4" si="8">SUM(L4+R4+Y4)</f>
        <v>60</v>
      </c>
      <c r="AE4" s="39">
        <f t="shared" ref="AE4" si="9">AD4%/G4*100</f>
        <v>3.5294117647058823E-2</v>
      </c>
      <c r="AF4" s="33">
        <v>35</v>
      </c>
      <c r="AG4" s="33">
        <f t="shared" ref="AG4" si="10">AVERAGE(AF4*11.5)</f>
        <v>402.5</v>
      </c>
      <c r="AH4" s="39">
        <f t="shared" ref="AH4" si="11">AG4%/G4*100</f>
        <v>0.23676470588235293</v>
      </c>
      <c r="AI4" s="33">
        <v>400</v>
      </c>
      <c r="AJ4" s="40">
        <f t="shared" ref="AJ4" si="12">AI4%/G4*100</f>
        <v>0.23529411764705879</v>
      </c>
      <c r="AK4" s="41">
        <f t="shared" ref="AK4" si="13">SUM(AE4+AH4+AJ4)</f>
        <v>0.50735294117647056</v>
      </c>
      <c r="AL4" s="42">
        <v>0.252</v>
      </c>
      <c r="AM4" s="43">
        <v>0.26</v>
      </c>
      <c r="AN4" s="44">
        <f>AI4-AO4</f>
        <v>300</v>
      </c>
      <c r="AO4" s="44">
        <v>100</v>
      </c>
      <c r="AP4" s="44"/>
      <c r="AQ4" s="44"/>
    </row>
    <row r="5" spans="1:43" ht="15.5">
      <c r="B5" s="31" t="s">
        <v>35</v>
      </c>
      <c r="C5" s="32">
        <v>2000</v>
      </c>
      <c r="D5" s="33">
        <v>300</v>
      </c>
      <c r="E5" s="34">
        <f t="shared" ref="E5:E15" si="14">D5%/G5*100</f>
        <v>0.17647058823529413</v>
      </c>
      <c r="F5" s="35">
        <f t="shared" ref="F5:F15" si="15">C5*0.12</f>
        <v>240</v>
      </c>
      <c r="G5" s="36">
        <f t="shared" ref="G5:G15" si="16">C5-D5</f>
        <v>1700</v>
      </c>
      <c r="H5" s="34">
        <f t="shared" ref="H5:H15" si="17">I5%/C5*100</f>
        <v>0.3</v>
      </c>
      <c r="I5" s="33">
        <f t="shared" ref="I5:I15" si="18">SUM(K5+Q5+X5)</f>
        <v>600</v>
      </c>
      <c r="J5" s="32">
        <v>100</v>
      </c>
      <c r="K5" s="32">
        <v>200</v>
      </c>
      <c r="L5" s="33">
        <v>20</v>
      </c>
      <c r="M5" s="33">
        <v>5</v>
      </c>
      <c r="N5" s="33">
        <f t="shared" ref="N5:N15" si="19">K5-L5-M5</f>
        <v>175</v>
      </c>
      <c r="O5" s="33">
        <v>0</v>
      </c>
      <c r="P5" s="37"/>
      <c r="Q5" s="33">
        <v>200</v>
      </c>
      <c r="R5" s="33">
        <v>20</v>
      </c>
      <c r="S5" s="33">
        <v>5</v>
      </c>
      <c r="T5" s="33">
        <f t="shared" ref="T5:T15" si="20">Q5-R5-S5</f>
        <v>175</v>
      </c>
      <c r="U5" s="33">
        <v>0</v>
      </c>
      <c r="V5" s="33">
        <v>65.59</v>
      </c>
      <c r="W5" s="38">
        <v>0</v>
      </c>
      <c r="X5" s="33">
        <v>200</v>
      </c>
      <c r="Y5" s="33">
        <v>20</v>
      </c>
      <c r="Z5" s="33">
        <v>5</v>
      </c>
      <c r="AA5" s="33">
        <f t="shared" ref="AA5:AA15" si="21">X5-Y5-Z5</f>
        <v>175</v>
      </c>
      <c r="AB5" s="33">
        <v>0</v>
      </c>
      <c r="AC5" s="33"/>
      <c r="AD5" s="33">
        <f t="shared" ref="AD5:AD15" si="22">SUM(L5+R5+Y5)</f>
        <v>60</v>
      </c>
      <c r="AE5" s="39">
        <f t="shared" ref="AE5:AE9" si="23">AD5%/G5*100</f>
        <v>3.5294117647058823E-2</v>
      </c>
      <c r="AF5" s="33">
        <v>35</v>
      </c>
      <c r="AG5" s="33">
        <f t="shared" ref="AG5:AG15" si="24">AVERAGE(AF5*11.5)</f>
        <v>402.5</v>
      </c>
      <c r="AH5" s="39">
        <f t="shared" ref="AH5:AH15" si="25">AG5%/G5*100</f>
        <v>0.23676470588235293</v>
      </c>
      <c r="AI5" s="33">
        <v>400</v>
      </c>
      <c r="AJ5" s="40">
        <f t="shared" ref="AJ5:AJ15" si="26">AI5%/G5*100</f>
        <v>0.23529411764705879</v>
      </c>
      <c r="AK5" s="41">
        <f t="shared" ref="AK5:AK15" si="27">SUM(AE5+AH5+AJ5)</f>
        <v>0.50735294117647056</v>
      </c>
      <c r="AL5" s="42">
        <v>0.252</v>
      </c>
      <c r="AM5" s="43">
        <v>0.26</v>
      </c>
      <c r="AN5" s="44">
        <f>AI5-AO5</f>
        <v>300</v>
      </c>
      <c r="AO5" s="44">
        <v>100</v>
      </c>
      <c r="AP5" s="44"/>
      <c r="AQ5" s="44"/>
    </row>
    <row r="6" spans="1:43" ht="15.5">
      <c r="B6" s="31" t="s">
        <v>36</v>
      </c>
      <c r="C6" s="32">
        <v>2000</v>
      </c>
      <c r="D6" s="33">
        <v>300</v>
      </c>
      <c r="E6" s="34">
        <f t="shared" si="14"/>
        <v>0.17647058823529413</v>
      </c>
      <c r="F6" s="35">
        <f t="shared" si="15"/>
        <v>240</v>
      </c>
      <c r="G6" s="36">
        <f t="shared" si="16"/>
        <v>1700</v>
      </c>
      <c r="H6" s="34">
        <f t="shared" si="17"/>
        <v>0.3</v>
      </c>
      <c r="I6" s="33">
        <f t="shared" si="18"/>
        <v>600</v>
      </c>
      <c r="J6" s="32">
        <v>100</v>
      </c>
      <c r="K6" s="32">
        <v>200</v>
      </c>
      <c r="L6" s="33">
        <v>20</v>
      </c>
      <c r="M6" s="33">
        <v>5</v>
      </c>
      <c r="N6" s="33">
        <f t="shared" si="19"/>
        <v>175</v>
      </c>
      <c r="O6" s="33">
        <v>0</v>
      </c>
      <c r="P6" s="37"/>
      <c r="Q6" s="33">
        <v>200</v>
      </c>
      <c r="R6" s="33">
        <v>20</v>
      </c>
      <c r="S6" s="33">
        <v>5</v>
      </c>
      <c r="T6" s="33">
        <f t="shared" si="20"/>
        <v>175</v>
      </c>
      <c r="U6" s="33">
        <v>0</v>
      </c>
      <c r="V6" s="33">
        <v>369.04</v>
      </c>
      <c r="W6" s="38">
        <v>0</v>
      </c>
      <c r="X6" s="33">
        <v>200</v>
      </c>
      <c r="Y6" s="33">
        <v>20</v>
      </c>
      <c r="Z6" s="33">
        <v>5</v>
      </c>
      <c r="AA6" s="33">
        <f t="shared" si="21"/>
        <v>175</v>
      </c>
      <c r="AB6" s="33">
        <v>0</v>
      </c>
      <c r="AC6" s="33"/>
      <c r="AD6" s="33">
        <f t="shared" si="22"/>
        <v>60</v>
      </c>
      <c r="AE6" s="39">
        <f t="shared" si="23"/>
        <v>3.5294117647058823E-2</v>
      </c>
      <c r="AF6" s="33">
        <v>35</v>
      </c>
      <c r="AG6" s="33">
        <f t="shared" si="24"/>
        <v>402.5</v>
      </c>
      <c r="AH6" s="39">
        <f t="shared" si="25"/>
        <v>0.23676470588235293</v>
      </c>
      <c r="AI6" s="33">
        <v>400</v>
      </c>
      <c r="AJ6" s="40">
        <f t="shared" si="26"/>
        <v>0.23529411764705879</v>
      </c>
      <c r="AK6" s="41">
        <f t="shared" si="27"/>
        <v>0.50735294117647056</v>
      </c>
      <c r="AL6" s="42">
        <v>0.26600000000000001</v>
      </c>
      <c r="AM6" s="43">
        <v>0.23</v>
      </c>
      <c r="AN6" s="44">
        <f t="shared" ref="AN6:AN15" si="28">AI6-AO6</f>
        <v>300</v>
      </c>
      <c r="AO6" s="44">
        <v>100</v>
      </c>
      <c r="AP6" s="44"/>
      <c r="AQ6" s="44"/>
    </row>
    <row r="7" spans="1:43" ht="15.5">
      <c r="B7" s="31" t="s">
        <v>37</v>
      </c>
      <c r="C7" s="32">
        <v>2000</v>
      </c>
      <c r="D7" s="33">
        <v>300</v>
      </c>
      <c r="E7" s="34">
        <f t="shared" si="14"/>
        <v>0.17647058823529413</v>
      </c>
      <c r="F7" s="35">
        <f t="shared" si="15"/>
        <v>240</v>
      </c>
      <c r="G7" s="36">
        <f t="shared" si="16"/>
        <v>1700</v>
      </c>
      <c r="H7" s="34">
        <f t="shared" si="17"/>
        <v>0.3</v>
      </c>
      <c r="I7" s="33">
        <f t="shared" si="18"/>
        <v>600</v>
      </c>
      <c r="J7" s="32">
        <v>100</v>
      </c>
      <c r="K7" s="32">
        <v>200</v>
      </c>
      <c r="L7" s="33">
        <v>20</v>
      </c>
      <c r="M7" s="33">
        <v>5</v>
      </c>
      <c r="N7" s="33">
        <f t="shared" si="19"/>
        <v>175</v>
      </c>
      <c r="O7" s="33">
        <v>0</v>
      </c>
      <c r="P7" s="37"/>
      <c r="Q7" s="33">
        <v>200</v>
      </c>
      <c r="R7" s="33">
        <v>20</v>
      </c>
      <c r="S7" s="33">
        <v>5</v>
      </c>
      <c r="T7" s="33">
        <f t="shared" si="20"/>
        <v>175</v>
      </c>
      <c r="U7" s="33">
        <v>0</v>
      </c>
      <c r="V7" s="45">
        <v>272.04000000000002</v>
      </c>
      <c r="W7" s="46">
        <v>0</v>
      </c>
      <c r="X7" s="33">
        <v>200</v>
      </c>
      <c r="Y7" s="33">
        <v>20</v>
      </c>
      <c r="Z7" s="33">
        <v>5</v>
      </c>
      <c r="AA7" s="33">
        <f t="shared" si="21"/>
        <v>175</v>
      </c>
      <c r="AB7" s="33">
        <v>0</v>
      </c>
      <c r="AC7" s="33"/>
      <c r="AD7" s="33">
        <f t="shared" si="22"/>
        <v>60</v>
      </c>
      <c r="AE7" s="39">
        <f t="shared" si="23"/>
        <v>3.5294117647058823E-2</v>
      </c>
      <c r="AF7" s="33">
        <v>35</v>
      </c>
      <c r="AG7" s="33">
        <f t="shared" si="24"/>
        <v>402.5</v>
      </c>
      <c r="AH7" s="39">
        <f t="shared" si="25"/>
        <v>0.23676470588235293</v>
      </c>
      <c r="AI7" s="33">
        <v>400</v>
      </c>
      <c r="AJ7" s="40">
        <f t="shared" si="26"/>
        <v>0.23529411764705879</v>
      </c>
      <c r="AK7" s="41">
        <f t="shared" si="27"/>
        <v>0.50735294117647056</v>
      </c>
      <c r="AL7" s="42">
        <v>0.19800000000000001</v>
      </c>
      <c r="AM7" s="43">
        <v>0.27</v>
      </c>
      <c r="AN7" s="44">
        <f t="shared" si="28"/>
        <v>300</v>
      </c>
      <c r="AO7" s="44">
        <v>100</v>
      </c>
      <c r="AP7" s="44"/>
      <c r="AQ7" s="44"/>
    </row>
    <row r="8" spans="1:43" ht="15.5">
      <c r="B8" s="31" t="s">
        <v>38</v>
      </c>
      <c r="C8" s="32">
        <v>2000</v>
      </c>
      <c r="D8" s="33">
        <v>300</v>
      </c>
      <c r="E8" s="34">
        <f t="shared" si="14"/>
        <v>0.17647058823529413</v>
      </c>
      <c r="F8" s="35">
        <f t="shared" si="15"/>
        <v>240</v>
      </c>
      <c r="G8" s="36">
        <f t="shared" si="16"/>
        <v>1700</v>
      </c>
      <c r="H8" s="34">
        <f t="shared" si="17"/>
        <v>0.3</v>
      </c>
      <c r="I8" s="33">
        <f t="shared" si="18"/>
        <v>600</v>
      </c>
      <c r="J8" s="32">
        <v>100</v>
      </c>
      <c r="K8" s="32">
        <v>200</v>
      </c>
      <c r="L8" s="33">
        <v>20</v>
      </c>
      <c r="M8" s="33">
        <v>5</v>
      </c>
      <c r="N8" s="33">
        <f t="shared" si="19"/>
        <v>175</v>
      </c>
      <c r="O8" s="33">
        <v>0</v>
      </c>
      <c r="P8" s="37"/>
      <c r="Q8" s="33">
        <v>200</v>
      </c>
      <c r="R8" s="33">
        <v>20</v>
      </c>
      <c r="S8" s="33">
        <v>5</v>
      </c>
      <c r="T8" s="33">
        <f t="shared" si="20"/>
        <v>175</v>
      </c>
      <c r="U8" s="33">
        <v>0</v>
      </c>
      <c r="V8" s="33">
        <v>277.3</v>
      </c>
      <c r="W8" s="38">
        <v>0</v>
      </c>
      <c r="X8" s="33">
        <v>200</v>
      </c>
      <c r="Y8" s="33">
        <v>20</v>
      </c>
      <c r="Z8" s="33">
        <v>5</v>
      </c>
      <c r="AA8" s="33">
        <f t="shared" si="21"/>
        <v>175</v>
      </c>
      <c r="AB8" s="33">
        <v>0</v>
      </c>
      <c r="AC8" s="33"/>
      <c r="AD8" s="33">
        <f t="shared" si="22"/>
        <v>60</v>
      </c>
      <c r="AE8" s="39">
        <f t="shared" si="23"/>
        <v>3.5294117647058823E-2</v>
      </c>
      <c r="AF8" s="33">
        <v>35</v>
      </c>
      <c r="AG8" s="33">
        <f t="shared" si="24"/>
        <v>402.5</v>
      </c>
      <c r="AH8" s="39">
        <f t="shared" si="25"/>
        <v>0.23676470588235293</v>
      </c>
      <c r="AI8" s="33">
        <v>400</v>
      </c>
      <c r="AJ8" s="40">
        <f t="shared" si="26"/>
        <v>0.23529411764705879</v>
      </c>
      <c r="AK8" s="41">
        <f t="shared" si="27"/>
        <v>0.50735294117647056</v>
      </c>
      <c r="AL8" s="42">
        <v>0.24</v>
      </c>
      <c r="AM8" s="43">
        <v>0.22</v>
      </c>
      <c r="AN8" s="44">
        <f t="shared" si="28"/>
        <v>300</v>
      </c>
      <c r="AO8" s="44">
        <v>100</v>
      </c>
      <c r="AP8" s="44"/>
      <c r="AQ8" s="44"/>
    </row>
    <row r="9" spans="1:43" ht="15.5">
      <c r="B9" s="31" t="s">
        <v>39</v>
      </c>
      <c r="C9" s="32">
        <v>2000</v>
      </c>
      <c r="D9" s="33">
        <v>300</v>
      </c>
      <c r="E9" s="34">
        <f t="shared" si="14"/>
        <v>0.17647058823529413</v>
      </c>
      <c r="F9" s="35">
        <f t="shared" si="15"/>
        <v>240</v>
      </c>
      <c r="G9" s="36">
        <f t="shared" si="16"/>
        <v>1700</v>
      </c>
      <c r="H9" s="34">
        <f t="shared" si="17"/>
        <v>0.3</v>
      </c>
      <c r="I9" s="33">
        <f t="shared" si="18"/>
        <v>600</v>
      </c>
      <c r="J9" s="32">
        <v>100</v>
      </c>
      <c r="K9" s="32">
        <v>200</v>
      </c>
      <c r="L9" s="33">
        <v>20</v>
      </c>
      <c r="M9" s="33">
        <v>5</v>
      </c>
      <c r="N9" s="33">
        <f t="shared" si="19"/>
        <v>175</v>
      </c>
      <c r="O9" s="33">
        <v>0</v>
      </c>
      <c r="P9" s="37"/>
      <c r="Q9" s="33">
        <v>200</v>
      </c>
      <c r="R9" s="33">
        <v>20</v>
      </c>
      <c r="S9" s="33">
        <v>5</v>
      </c>
      <c r="T9" s="33">
        <f t="shared" si="20"/>
        <v>175</v>
      </c>
      <c r="U9" s="33">
        <v>0</v>
      </c>
      <c r="V9" s="45">
        <v>209.34</v>
      </c>
      <c r="W9" s="46">
        <v>0</v>
      </c>
      <c r="X9" s="33">
        <v>200</v>
      </c>
      <c r="Y9" s="33">
        <v>20</v>
      </c>
      <c r="Z9" s="33">
        <v>5</v>
      </c>
      <c r="AA9" s="33">
        <f t="shared" si="21"/>
        <v>175</v>
      </c>
      <c r="AB9" s="33">
        <v>0</v>
      </c>
      <c r="AC9" s="33"/>
      <c r="AD9" s="33">
        <f t="shared" si="22"/>
        <v>60</v>
      </c>
      <c r="AE9" s="39">
        <f t="shared" si="23"/>
        <v>3.5294117647058823E-2</v>
      </c>
      <c r="AF9" s="33">
        <v>35</v>
      </c>
      <c r="AG9" s="33">
        <f t="shared" si="24"/>
        <v>402.5</v>
      </c>
      <c r="AH9" s="39">
        <f t="shared" si="25"/>
        <v>0.23676470588235293</v>
      </c>
      <c r="AI9" s="33">
        <v>400</v>
      </c>
      <c r="AJ9" s="40">
        <f t="shared" si="26"/>
        <v>0.23529411764705879</v>
      </c>
      <c r="AK9" s="41">
        <f t="shared" si="27"/>
        <v>0.50735294117647056</v>
      </c>
      <c r="AL9" s="42">
        <v>0.24299999999999999</v>
      </c>
      <c r="AM9" s="43">
        <v>0.22</v>
      </c>
      <c r="AN9" s="44">
        <f t="shared" si="28"/>
        <v>300</v>
      </c>
      <c r="AO9" s="44">
        <v>100</v>
      </c>
      <c r="AP9" s="44"/>
      <c r="AQ9" s="44"/>
    </row>
    <row r="10" spans="1:43" ht="15.5">
      <c r="B10" s="31" t="s">
        <v>40</v>
      </c>
      <c r="C10" s="32">
        <v>2000</v>
      </c>
      <c r="D10" s="33">
        <v>300</v>
      </c>
      <c r="E10" s="34">
        <f t="shared" si="14"/>
        <v>0.17647058823529413</v>
      </c>
      <c r="F10" s="35">
        <f t="shared" si="15"/>
        <v>240</v>
      </c>
      <c r="G10" s="36">
        <f t="shared" si="16"/>
        <v>1700</v>
      </c>
      <c r="H10" s="34">
        <f t="shared" si="17"/>
        <v>0.3</v>
      </c>
      <c r="I10" s="33">
        <f t="shared" si="18"/>
        <v>600</v>
      </c>
      <c r="J10" s="32">
        <v>100</v>
      </c>
      <c r="K10" s="32">
        <v>200</v>
      </c>
      <c r="L10" s="33">
        <v>20</v>
      </c>
      <c r="M10" s="33">
        <v>5</v>
      </c>
      <c r="N10" s="33">
        <f t="shared" si="19"/>
        <v>175</v>
      </c>
      <c r="O10" s="33">
        <v>0</v>
      </c>
      <c r="P10" s="37"/>
      <c r="Q10" s="33">
        <v>200</v>
      </c>
      <c r="R10" s="33">
        <v>20</v>
      </c>
      <c r="S10" s="33">
        <v>5</v>
      </c>
      <c r="T10" s="33">
        <f t="shared" si="20"/>
        <v>175</v>
      </c>
      <c r="U10" s="33">
        <v>0</v>
      </c>
      <c r="V10" s="33"/>
      <c r="W10" s="38">
        <v>0</v>
      </c>
      <c r="X10" s="33">
        <v>200</v>
      </c>
      <c r="Y10" s="33">
        <v>20</v>
      </c>
      <c r="Z10" s="33">
        <v>5</v>
      </c>
      <c r="AA10" s="33">
        <f t="shared" si="21"/>
        <v>175</v>
      </c>
      <c r="AB10" s="33">
        <v>0</v>
      </c>
      <c r="AC10" s="33"/>
      <c r="AD10" s="33">
        <f t="shared" si="22"/>
        <v>60</v>
      </c>
      <c r="AE10" s="39"/>
      <c r="AF10" s="33">
        <v>35</v>
      </c>
      <c r="AG10" s="33">
        <f t="shared" si="24"/>
        <v>402.5</v>
      </c>
      <c r="AH10" s="39">
        <f t="shared" si="25"/>
        <v>0.23676470588235293</v>
      </c>
      <c r="AI10" s="33">
        <v>400</v>
      </c>
      <c r="AJ10" s="40">
        <f t="shared" si="26"/>
        <v>0.23529411764705879</v>
      </c>
      <c r="AK10" s="41">
        <f t="shared" si="27"/>
        <v>0.47205882352941175</v>
      </c>
      <c r="AL10" s="42">
        <v>0.16500000000000001</v>
      </c>
      <c r="AM10" s="43">
        <v>0.14000000000000001</v>
      </c>
      <c r="AN10" s="44">
        <f t="shared" si="28"/>
        <v>300</v>
      </c>
      <c r="AO10" s="44">
        <v>100</v>
      </c>
      <c r="AP10" s="44"/>
      <c r="AQ10" s="44"/>
    </row>
    <row r="11" spans="1:43" ht="14.25" customHeight="1">
      <c r="B11" s="31" t="s">
        <v>41</v>
      </c>
      <c r="C11" s="32">
        <v>2000</v>
      </c>
      <c r="D11" s="33">
        <v>300</v>
      </c>
      <c r="E11" s="34">
        <f t="shared" si="14"/>
        <v>0.17647058823529413</v>
      </c>
      <c r="F11" s="35">
        <f t="shared" si="15"/>
        <v>240</v>
      </c>
      <c r="G11" s="36">
        <f t="shared" si="16"/>
        <v>1700</v>
      </c>
      <c r="H11" s="34">
        <f t="shared" si="17"/>
        <v>0.3</v>
      </c>
      <c r="I11" s="33">
        <f t="shared" si="18"/>
        <v>600</v>
      </c>
      <c r="J11" s="32">
        <v>100</v>
      </c>
      <c r="K11" s="32">
        <v>200</v>
      </c>
      <c r="L11" s="33">
        <v>20</v>
      </c>
      <c r="M11" s="33">
        <v>5</v>
      </c>
      <c r="N11" s="33">
        <f t="shared" si="19"/>
        <v>175</v>
      </c>
      <c r="O11" s="33">
        <v>0</v>
      </c>
      <c r="P11" s="37"/>
      <c r="Q11" s="33">
        <v>200</v>
      </c>
      <c r="R11" s="33">
        <v>20</v>
      </c>
      <c r="S11" s="33">
        <v>5</v>
      </c>
      <c r="T11" s="33">
        <f t="shared" si="20"/>
        <v>175</v>
      </c>
      <c r="U11" s="33">
        <v>0</v>
      </c>
      <c r="V11" s="33">
        <v>211.51</v>
      </c>
      <c r="W11" s="38">
        <v>0</v>
      </c>
      <c r="X11" s="33">
        <v>200</v>
      </c>
      <c r="Y11" s="33">
        <v>20</v>
      </c>
      <c r="Z11" s="33">
        <v>5</v>
      </c>
      <c r="AA11" s="33">
        <f t="shared" si="21"/>
        <v>175</v>
      </c>
      <c r="AB11" s="33">
        <v>0</v>
      </c>
      <c r="AC11" s="33"/>
      <c r="AD11" s="33">
        <f t="shared" si="22"/>
        <v>60</v>
      </c>
      <c r="AE11" s="39">
        <f t="shared" ref="AE11:AE15" si="29">AD11%/G11*100</f>
        <v>3.5294117647058823E-2</v>
      </c>
      <c r="AF11" s="33">
        <v>35</v>
      </c>
      <c r="AG11" s="33">
        <f t="shared" si="24"/>
        <v>402.5</v>
      </c>
      <c r="AH11" s="39">
        <f t="shared" si="25"/>
        <v>0.23676470588235293</v>
      </c>
      <c r="AI11" s="33">
        <v>400</v>
      </c>
      <c r="AJ11" s="40">
        <f t="shared" si="26"/>
        <v>0.23529411764705879</v>
      </c>
      <c r="AK11" s="41">
        <f t="shared" si="27"/>
        <v>0.50735294117647056</v>
      </c>
      <c r="AL11" s="42">
        <v>0.251</v>
      </c>
      <c r="AM11" s="43">
        <v>0.23</v>
      </c>
      <c r="AN11" s="44">
        <f t="shared" si="28"/>
        <v>300</v>
      </c>
      <c r="AO11" s="44">
        <v>100</v>
      </c>
      <c r="AP11" s="44"/>
      <c r="AQ11" s="44"/>
    </row>
    <row r="12" spans="1:43" ht="13.5" customHeight="1">
      <c r="B12" s="31" t="s">
        <v>42</v>
      </c>
      <c r="C12" s="32">
        <v>2000</v>
      </c>
      <c r="D12" s="33">
        <v>300</v>
      </c>
      <c r="E12" s="34">
        <f t="shared" si="14"/>
        <v>0.17647058823529413</v>
      </c>
      <c r="F12" s="35">
        <f t="shared" si="15"/>
        <v>240</v>
      </c>
      <c r="G12" s="36">
        <f t="shared" si="16"/>
        <v>1700</v>
      </c>
      <c r="H12" s="34">
        <f t="shared" si="17"/>
        <v>0.3</v>
      </c>
      <c r="I12" s="33">
        <f t="shared" si="18"/>
        <v>600</v>
      </c>
      <c r="J12" s="32">
        <v>100</v>
      </c>
      <c r="K12" s="32">
        <v>200</v>
      </c>
      <c r="L12" s="33">
        <v>20</v>
      </c>
      <c r="M12" s="33">
        <v>5</v>
      </c>
      <c r="N12" s="33">
        <f t="shared" si="19"/>
        <v>175</v>
      </c>
      <c r="O12" s="33">
        <v>0</v>
      </c>
      <c r="P12" s="37"/>
      <c r="Q12" s="33">
        <v>200</v>
      </c>
      <c r="R12" s="33">
        <v>20</v>
      </c>
      <c r="S12" s="33">
        <v>5</v>
      </c>
      <c r="T12" s="33">
        <f t="shared" si="20"/>
        <v>175</v>
      </c>
      <c r="U12" s="33">
        <v>0</v>
      </c>
      <c r="V12" s="33">
        <v>125.91</v>
      </c>
      <c r="W12" s="38">
        <v>0</v>
      </c>
      <c r="X12" s="33">
        <v>200</v>
      </c>
      <c r="Y12" s="33">
        <v>20</v>
      </c>
      <c r="Z12" s="33">
        <v>5</v>
      </c>
      <c r="AA12" s="33">
        <f t="shared" si="21"/>
        <v>175</v>
      </c>
      <c r="AB12" s="33">
        <v>0</v>
      </c>
      <c r="AC12" s="33"/>
      <c r="AD12" s="33">
        <f t="shared" si="22"/>
        <v>60</v>
      </c>
      <c r="AE12" s="39">
        <f t="shared" si="29"/>
        <v>3.5294117647058823E-2</v>
      </c>
      <c r="AF12" s="33">
        <v>35</v>
      </c>
      <c r="AG12" s="33">
        <f t="shared" si="24"/>
        <v>402.5</v>
      </c>
      <c r="AH12" s="39">
        <f t="shared" si="25"/>
        <v>0.23676470588235293</v>
      </c>
      <c r="AI12" s="33">
        <v>400</v>
      </c>
      <c r="AJ12" s="40">
        <f t="shared" si="26"/>
        <v>0.23529411764705879</v>
      </c>
      <c r="AK12" s="41">
        <f t="shared" si="27"/>
        <v>0.50735294117647056</v>
      </c>
      <c r="AL12" s="42">
        <v>0.27</v>
      </c>
      <c r="AM12" s="43">
        <v>0.23</v>
      </c>
      <c r="AN12" s="44">
        <f t="shared" si="28"/>
        <v>300</v>
      </c>
      <c r="AO12" s="44">
        <v>100</v>
      </c>
      <c r="AP12" s="44"/>
    </row>
    <row r="13" spans="1:43" ht="15.5">
      <c r="B13" s="31" t="s">
        <v>137</v>
      </c>
      <c r="C13" s="32">
        <v>2000</v>
      </c>
      <c r="D13" s="33">
        <v>300</v>
      </c>
      <c r="E13" s="34">
        <f t="shared" ref="E13" si="30">D13%/G13*100</f>
        <v>0.17647058823529413</v>
      </c>
      <c r="F13" s="35">
        <f t="shared" ref="F13" si="31">C13*0.12</f>
        <v>240</v>
      </c>
      <c r="G13" s="36">
        <f t="shared" ref="G13" si="32">C13-D13</f>
        <v>1700</v>
      </c>
      <c r="H13" s="34">
        <f t="shared" ref="H13" si="33">I13%/C13*100</f>
        <v>0.3</v>
      </c>
      <c r="I13" s="33">
        <f t="shared" ref="I13" si="34">SUM(K13+Q13+X13)</f>
        <v>600</v>
      </c>
      <c r="J13" s="32">
        <v>100</v>
      </c>
      <c r="K13" s="32">
        <v>200</v>
      </c>
      <c r="L13" s="33">
        <v>20</v>
      </c>
      <c r="M13" s="33">
        <v>5</v>
      </c>
      <c r="N13" s="33">
        <f t="shared" ref="N13" si="35">K13-L13-M13</f>
        <v>175</v>
      </c>
      <c r="O13" s="33">
        <v>0</v>
      </c>
      <c r="P13" s="37"/>
      <c r="Q13" s="33">
        <v>200</v>
      </c>
      <c r="R13" s="33">
        <v>20</v>
      </c>
      <c r="S13" s="33">
        <v>5</v>
      </c>
      <c r="T13" s="33">
        <f t="shared" ref="T13" si="36">Q13-R13-S13</f>
        <v>175</v>
      </c>
      <c r="U13" s="33">
        <v>0</v>
      </c>
      <c r="V13" s="33">
        <v>65.59</v>
      </c>
      <c r="W13" s="38">
        <v>0</v>
      </c>
      <c r="X13" s="33">
        <v>200</v>
      </c>
      <c r="Y13" s="33">
        <v>20</v>
      </c>
      <c r="Z13" s="33">
        <v>5</v>
      </c>
      <c r="AA13" s="33">
        <f t="shared" ref="AA13" si="37">X13-Y13-Z13</f>
        <v>175</v>
      </c>
      <c r="AB13" s="33">
        <v>0</v>
      </c>
      <c r="AC13" s="33"/>
      <c r="AD13" s="33">
        <f t="shared" ref="AD13" si="38">SUM(L13+R13+Y13)</f>
        <v>60</v>
      </c>
      <c r="AE13" s="39">
        <f t="shared" si="29"/>
        <v>3.5294117647058823E-2</v>
      </c>
      <c r="AF13" s="33">
        <v>35</v>
      </c>
      <c r="AG13" s="33">
        <f t="shared" ref="AG13" si="39">AVERAGE(AF13*11.5)</f>
        <v>402.5</v>
      </c>
      <c r="AH13" s="39">
        <f t="shared" ref="AH13" si="40">AG13%/G13*100</f>
        <v>0.23676470588235293</v>
      </c>
      <c r="AI13" s="33">
        <v>400</v>
      </c>
      <c r="AJ13" s="40">
        <f t="shared" ref="AJ13" si="41">AI13%/G13*100</f>
        <v>0.23529411764705879</v>
      </c>
      <c r="AK13" s="41">
        <f t="shared" ref="AK13" si="42">SUM(AE13+AH13+AJ13)</f>
        <v>0.50735294117647056</v>
      </c>
      <c r="AL13" s="42">
        <v>0.252</v>
      </c>
      <c r="AM13" s="43">
        <v>0.26</v>
      </c>
      <c r="AN13" s="44">
        <f>AI13-AO13</f>
        <v>300</v>
      </c>
      <c r="AO13" s="44">
        <v>100</v>
      </c>
      <c r="AP13" s="44"/>
      <c r="AQ13" s="44"/>
    </row>
    <row r="14" spans="1:43" ht="13.5" customHeight="1">
      <c r="B14" s="31" t="s">
        <v>43</v>
      </c>
      <c r="C14" s="32">
        <v>2000</v>
      </c>
      <c r="D14" s="33">
        <v>300</v>
      </c>
      <c r="E14" s="34">
        <f t="shared" si="14"/>
        <v>0.17647058823529413</v>
      </c>
      <c r="F14" s="35">
        <f t="shared" si="15"/>
        <v>240</v>
      </c>
      <c r="G14" s="36">
        <f t="shared" si="16"/>
        <v>1700</v>
      </c>
      <c r="H14" s="34">
        <f t="shared" si="17"/>
        <v>0.3</v>
      </c>
      <c r="I14" s="33">
        <f t="shared" si="18"/>
        <v>600</v>
      </c>
      <c r="J14" s="32">
        <v>100</v>
      </c>
      <c r="K14" s="32">
        <v>200</v>
      </c>
      <c r="L14" s="33">
        <v>20</v>
      </c>
      <c r="M14" s="33">
        <v>5</v>
      </c>
      <c r="N14" s="33">
        <f t="shared" si="19"/>
        <v>175</v>
      </c>
      <c r="O14" s="33">
        <v>0</v>
      </c>
      <c r="P14" s="37"/>
      <c r="Q14" s="33">
        <v>200</v>
      </c>
      <c r="R14" s="33">
        <v>20</v>
      </c>
      <c r="S14" s="33">
        <v>5</v>
      </c>
      <c r="T14" s="33">
        <f t="shared" si="20"/>
        <v>175</v>
      </c>
      <c r="U14" s="33">
        <v>0</v>
      </c>
      <c r="V14" s="33">
        <v>44.09</v>
      </c>
      <c r="W14" s="38">
        <v>0</v>
      </c>
      <c r="X14" s="33">
        <v>200</v>
      </c>
      <c r="Y14" s="33">
        <v>20</v>
      </c>
      <c r="Z14" s="33">
        <v>5</v>
      </c>
      <c r="AA14" s="33">
        <f t="shared" si="21"/>
        <v>175</v>
      </c>
      <c r="AB14" s="33">
        <v>0</v>
      </c>
      <c r="AC14" s="33"/>
      <c r="AD14" s="33">
        <f t="shared" si="22"/>
        <v>60</v>
      </c>
      <c r="AE14" s="39">
        <f t="shared" si="29"/>
        <v>3.5294117647058823E-2</v>
      </c>
      <c r="AF14" s="33">
        <v>35</v>
      </c>
      <c r="AG14" s="33">
        <f t="shared" si="24"/>
        <v>402.5</v>
      </c>
      <c r="AH14" s="39">
        <f t="shared" si="25"/>
        <v>0.23676470588235293</v>
      </c>
      <c r="AI14" s="33">
        <v>400</v>
      </c>
      <c r="AJ14" s="40">
        <f t="shared" si="26"/>
        <v>0.23529411764705879</v>
      </c>
      <c r="AK14" s="41">
        <f t="shared" si="27"/>
        <v>0.50735294117647056</v>
      </c>
      <c r="AL14" s="42">
        <v>0.29199999999999998</v>
      </c>
      <c r="AM14" s="43">
        <v>0.28999999999999998</v>
      </c>
      <c r="AN14" s="44">
        <f t="shared" si="28"/>
        <v>300</v>
      </c>
      <c r="AO14" s="44">
        <v>100</v>
      </c>
      <c r="AP14" s="44"/>
    </row>
    <row r="15" spans="1:43" ht="13.5" customHeight="1">
      <c r="B15" s="31" t="s">
        <v>44</v>
      </c>
      <c r="C15" s="32">
        <v>2000</v>
      </c>
      <c r="D15" s="33">
        <v>300</v>
      </c>
      <c r="E15" s="34">
        <f t="shared" si="14"/>
        <v>0.17647058823529413</v>
      </c>
      <c r="F15" s="35">
        <f t="shared" si="15"/>
        <v>240</v>
      </c>
      <c r="G15" s="36">
        <f t="shared" si="16"/>
        <v>1700</v>
      </c>
      <c r="H15" s="34">
        <f t="shared" si="17"/>
        <v>0.3</v>
      </c>
      <c r="I15" s="33">
        <f t="shared" si="18"/>
        <v>600</v>
      </c>
      <c r="J15" s="32">
        <v>100</v>
      </c>
      <c r="K15" s="32">
        <v>200</v>
      </c>
      <c r="L15" s="33">
        <v>20</v>
      </c>
      <c r="M15" s="33">
        <v>5</v>
      </c>
      <c r="N15" s="33">
        <f t="shared" si="19"/>
        <v>175</v>
      </c>
      <c r="O15" s="33">
        <v>0</v>
      </c>
      <c r="P15" s="37"/>
      <c r="Q15" s="33">
        <v>200</v>
      </c>
      <c r="R15" s="33">
        <v>20</v>
      </c>
      <c r="S15" s="33">
        <v>5</v>
      </c>
      <c r="T15" s="33">
        <f t="shared" si="20"/>
        <v>175</v>
      </c>
      <c r="U15" s="33">
        <v>0</v>
      </c>
      <c r="V15" s="33">
        <v>283.87</v>
      </c>
      <c r="W15" s="38">
        <v>0</v>
      </c>
      <c r="X15" s="33">
        <v>200</v>
      </c>
      <c r="Y15" s="33">
        <v>20</v>
      </c>
      <c r="Z15" s="33">
        <v>5</v>
      </c>
      <c r="AA15" s="33">
        <f t="shared" si="21"/>
        <v>175</v>
      </c>
      <c r="AB15" s="33">
        <v>0</v>
      </c>
      <c r="AC15" s="33"/>
      <c r="AD15" s="33">
        <f t="shared" si="22"/>
        <v>60</v>
      </c>
      <c r="AE15" s="39">
        <f t="shared" si="29"/>
        <v>3.5294117647058823E-2</v>
      </c>
      <c r="AF15" s="33">
        <v>35</v>
      </c>
      <c r="AG15" s="33">
        <f t="shared" si="24"/>
        <v>402.5</v>
      </c>
      <c r="AH15" s="39">
        <f t="shared" si="25"/>
        <v>0.23676470588235293</v>
      </c>
      <c r="AI15" s="33">
        <v>400</v>
      </c>
      <c r="AJ15" s="40">
        <f t="shared" si="26"/>
        <v>0.23529411764705879</v>
      </c>
      <c r="AK15" s="41">
        <f t="shared" si="27"/>
        <v>0.50735294117647056</v>
      </c>
      <c r="AL15" s="42">
        <v>0.223</v>
      </c>
      <c r="AM15" s="43">
        <v>0.26</v>
      </c>
      <c r="AN15" s="44">
        <f t="shared" si="28"/>
        <v>300</v>
      </c>
      <c r="AO15" s="44">
        <v>100</v>
      </c>
    </row>
    <row r="16" spans="1:43" ht="19.5" customHeight="1">
      <c r="B16" s="31"/>
      <c r="C16" s="32"/>
      <c r="D16" s="33"/>
      <c r="E16" s="47"/>
      <c r="F16" s="48"/>
      <c r="G16" s="36"/>
      <c r="H16" s="47"/>
      <c r="I16" s="33"/>
      <c r="J16" s="32"/>
      <c r="K16" s="32"/>
      <c r="L16" s="33"/>
      <c r="M16" s="33"/>
      <c r="N16" s="33"/>
      <c r="O16" s="33"/>
      <c r="P16" s="37"/>
      <c r="Q16" s="49"/>
      <c r="R16" s="33"/>
      <c r="S16" s="33"/>
      <c r="T16" s="33"/>
      <c r="U16" s="33"/>
      <c r="V16" s="33"/>
      <c r="W16" s="38"/>
      <c r="X16" s="49"/>
      <c r="Y16" s="33"/>
      <c r="Z16" s="33"/>
      <c r="AA16" s="33"/>
      <c r="AB16" s="33"/>
      <c r="AC16" s="33"/>
      <c r="AD16" s="33"/>
      <c r="AE16" s="39"/>
      <c r="AF16" s="50"/>
      <c r="AG16" s="33"/>
      <c r="AH16" s="39"/>
      <c r="AI16" s="49"/>
      <c r="AJ16" s="40"/>
      <c r="AK16" s="41"/>
      <c r="AL16" s="42"/>
      <c r="AM16" s="43"/>
      <c r="AP16" s="44"/>
    </row>
    <row r="17" spans="1:43" ht="16" thickBot="1">
      <c r="B17" s="51" t="s">
        <v>45</v>
      </c>
      <c r="C17" s="52">
        <f t="shared" ref="C17:D17" si="43">SUM(C5:C16)</f>
        <v>22000</v>
      </c>
      <c r="D17" s="53">
        <f t="shared" si="43"/>
        <v>3300</v>
      </c>
      <c r="E17" s="54">
        <f>D17%/G17*100</f>
        <v>0.17647058823529413</v>
      </c>
      <c r="F17" s="55">
        <f t="shared" ref="F17:G17" si="44">SUM(F5:F16)</f>
        <v>2640</v>
      </c>
      <c r="G17" s="56">
        <f t="shared" si="44"/>
        <v>18700</v>
      </c>
      <c r="H17" s="54">
        <f>AVERAGE(H5:H16)</f>
        <v>0.29999999999999993</v>
      </c>
      <c r="I17" s="53">
        <f t="shared" ref="I17:V17" si="45">SUM(I5:I16)</f>
        <v>6600</v>
      </c>
      <c r="J17" s="52">
        <f t="shared" si="45"/>
        <v>1100</v>
      </c>
      <c r="K17" s="52">
        <f t="shared" si="45"/>
        <v>2200</v>
      </c>
      <c r="L17" s="53">
        <f t="shared" si="45"/>
        <v>220</v>
      </c>
      <c r="M17" s="53">
        <f t="shared" si="45"/>
        <v>55</v>
      </c>
      <c r="N17" s="53">
        <f t="shared" si="45"/>
        <v>1925</v>
      </c>
      <c r="O17" s="53">
        <f t="shared" si="45"/>
        <v>0</v>
      </c>
      <c r="P17" s="53">
        <f t="shared" si="45"/>
        <v>0</v>
      </c>
      <c r="Q17" s="57">
        <f t="shared" si="45"/>
        <v>2200</v>
      </c>
      <c r="R17" s="53">
        <f t="shared" si="45"/>
        <v>220</v>
      </c>
      <c r="S17" s="53">
        <f t="shared" si="45"/>
        <v>55</v>
      </c>
      <c r="T17" s="53">
        <f t="shared" si="45"/>
        <v>1925</v>
      </c>
      <c r="U17" s="53">
        <f t="shared" si="45"/>
        <v>0</v>
      </c>
      <c r="V17" s="53">
        <f t="shared" si="45"/>
        <v>1924.2799999999997</v>
      </c>
      <c r="W17" s="58">
        <f>AVERAGE(W5:W16)</f>
        <v>0</v>
      </c>
      <c r="X17" s="57">
        <f t="shared" ref="X17:AC17" si="46">SUM(X5:X16)</f>
        <v>2200</v>
      </c>
      <c r="Y17" s="53">
        <f t="shared" si="46"/>
        <v>220</v>
      </c>
      <c r="Z17" s="53">
        <f t="shared" si="46"/>
        <v>55</v>
      </c>
      <c r="AA17" s="53">
        <f t="shared" si="46"/>
        <v>1925</v>
      </c>
      <c r="AB17" s="53">
        <f t="shared" si="46"/>
        <v>0</v>
      </c>
      <c r="AC17" s="53">
        <f t="shared" si="46"/>
        <v>0</v>
      </c>
      <c r="AD17" s="53">
        <f>SUM(L17+R17+Y17)</f>
        <v>660</v>
      </c>
      <c r="AE17" s="59">
        <f>AVERAGE(AE5:AE16)</f>
        <v>3.5294117647058816E-2</v>
      </c>
      <c r="AF17" s="57">
        <f t="shared" ref="AF17:AG17" si="47">SUM(AF5:AF16)</f>
        <v>385</v>
      </c>
      <c r="AG17" s="53">
        <f t="shared" si="47"/>
        <v>4427.5</v>
      </c>
      <c r="AH17" s="59">
        <f>AG17%/G17*100</f>
        <v>0.23676470588235293</v>
      </c>
      <c r="AI17" s="57">
        <f>SUM(AI5:AI16)</f>
        <v>4400</v>
      </c>
      <c r="AJ17" s="60">
        <f>AI17%/G17*100</f>
        <v>0.23529411764705879</v>
      </c>
      <c r="AK17" s="61">
        <f>SUM(AE17+AH17+AJ17)</f>
        <v>0.50735294117647056</v>
      </c>
      <c r="AL17" s="62">
        <f t="shared" ref="AL17:AM17" si="48">AVERAGE(AL5:AL16)</f>
        <v>0.24109090909090902</v>
      </c>
      <c r="AM17" s="63">
        <f t="shared" si="48"/>
        <v>0.23727272727272722</v>
      </c>
      <c r="AN17" s="44">
        <f>SUM(AN5:AN16)</f>
        <v>3300</v>
      </c>
      <c r="AO17" s="44">
        <f>SUM(AO5:AO16)</f>
        <v>1100</v>
      </c>
    </row>
    <row r="18" spans="1:43" ht="15.5">
      <c r="B18" s="64"/>
    </row>
    <row r="19" spans="1:43" ht="16" thickBot="1">
      <c r="B19" s="2" t="s">
        <v>46</v>
      </c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43" ht="47" thickBot="1">
      <c r="A20" s="5">
        <v>2</v>
      </c>
      <c r="B20" s="6" t="s">
        <v>1</v>
      </c>
      <c r="C20" s="7" t="s">
        <v>2</v>
      </c>
      <c r="D20" s="8" t="s">
        <v>3</v>
      </c>
      <c r="E20" s="8" t="s">
        <v>4</v>
      </c>
      <c r="F20" s="9" t="s">
        <v>5</v>
      </c>
      <c r="G20" s="10" t="s">
        <v>6</v>
      </c>
      <c r="H20" s="8" t="s">
        <v>7</v>
      </c>
      <c r="I20" s="8" t="s">
        <v>8</v>
      </c>
      <c r="J20" s="7" t="s">
        <v>9</v>
      </c>
      <c r="K20" s="7" t="s">
        <v>10</v>
      </c>
      <c r="L20" s="8" t="s">
        <v>11</v>
      </c>
      <c r="M20" s="8" t="s">
        <v>12</v>
      </c>
      <c r="N20" s="8" t="s">
        <v>13</v>
      </c>
      <c r="O20" s="8" t="s">
        <v>14</v>
      </c>
      <c r="P20" s="8" t="s">
        <v>15</v>
      </c>
      <c r="Q20" s="8" t="s">
        <v>16</v>
      </c>
      <c r="R20" s="8" t="s">
        <v>17</v>
      </c>
      <c r="S20" s="8" t="s">
        <v>12</v>
      </c>
      <c r="T20" s="8" t="s">
        <v>18</v>
      </c>
      <c r="U20" s="8" t="s">
        <v>14</v>
      </c>
      <c r="V20" s="11" t="s">
        <v>19</v>
      </c>
      <c r="W20" s="8" t="s">
        <v>20</v>
      </c>
      <c r="X20" s="8" t="s">
        <v>21</v>
      </c>
      <c r="Y20" s="8" t="s">
        <v>22</v>
      </c>
      <c r="Z20" s="8" t="s">
        <v>12</v>
      </c>
      <c r="AA20" s="8" t="s">
        <v>23</v>
      </c>
      <c r="AB20" s="8" t="s">
        <v>14</v>
      </c>
      <c r="AC20" s="8" t="s">
        <v>15</v>
      </c>
      <c r="AD20" s="8" t="s">
        <v>24</v>
      </c>
      <c r="AE20" s="8" t="s">
        <v>25</v>
      </c>
      <c r="AF20" s="8" t="s">
        <v>26</v>
      </c>
      <c r="AG20" s="8" t="s">
        <v>27</v>
      </c>
      <c r="AH20" s="8" t="s">
        <v>28</v>
      </c>
      <c r="AI20" s="8" t="s">
        <v>29</v>
      </c>
      <c r="AJ20" s="10" t="s">
        <v>30</v>
      </c>
      <c r="AK20" s="12" t="s">
        <v>31</v>
      </c>
      <c r="AL20" s="13" t="s">
        <v>32</v>
      </c>
      <c r="AM20" s="14" t="s">
        <v>33</v>
      </c>
      <c r="AN20" s="15" t="s">
        <v>47</v>
      </c>
      <c r="AO20" s="16"/>
      <c r="AP20" s="17"/>
    </row>
    <row r="21" spans="1:43" ht="15.5">
      <c r="A21" s="18"/>
      <c r="B21" s="19"/>
      <c r="C21" s="20"/>
      <c r="D21" s="21"/>
      <c r="E21" s="21"/>
      <c r="F21" s="22"/>
      <c r="G21" s="23"/>
      <c r="H21" s="24"/>
      <c r="I21" s="24"/>
      <c r="J21" s="25"/>
      <c r="K21" s="20"/>
      <c r="L21" s="21"/>
      <c r="M21" s="21"/>
      <c r="N21" s="21"/>
      <c r="O21" s="21"/>
      <c r="P21" s="26"/>
      <c r="Q21" s="27"/>
      <c r="R21" s="21"/>
      <c r="S21" s="21"/>
      <c r="T21" s="21"/>
      <c r="U21" s="21"/>
      <c r="V21" s="21"/>
      <c r="W21" s="26"/>
      <c r="X21" s="27"/>
      <c r="Y21" s="21"/>
      <c r="Z21" s="21"/>
      <c r="AA21" s="21"/>
      <c r="AB21" s="21"/>
      <c r="AC21" s="21"/>
      <c r="AD21" s="21"/>
      <c r="AE21" s="26"/>
      <c r="AF21" s="27"/>
      <c r="AG21" s="21"/>
      <c r="AH21" s="26"/>
      <c r="AI21" s="27"/>
      <c r="AJ21" s="23"/>
      <c r="AK21" s="28"/>
      <c r="AL21" s="29"/>
      <c r="AM21" s="30"/>
    </row>
    <row r="22" spans="1:43" ht="15.5">
      <c r="A22" s="18"/>
      <c r="B22" s="31" t="s">
        <v>136</v>
      </c>
      <c r="C22" s="32">
        <v>2000</v>
      </c>
      <c r="D22" s="33">
        <v>300</v>
      </c>
      <c r="E22" s="34">
        <f t="shared" ref="E22:E33" si="49">D22%/G22*100</f>
        <v>0.17647058823529413</v>
      </c>
      <c r="F22" s="35">
        <f t="shared" ref="F22:F33" si="50">C22*0.12</f>
        <v>240</v>
      </c>
      <c r="G22" s="36">
        <f t="shared" ref="G22:G33" si="51">C22-D22</f>
        <v>1700</v>
      </c>
      <c r="H22" s="34">
        <f t="shared" ref="H22:H33" si="52">I22%/C22*100</f>
        <v>0.3</v>
      </c>
      <c r="I22" s="33">
        <f t="shared" ref="I22:I33" si="53">SUM(K22+Q22+X22)</f>
        <v>600</v>
      </c>
      <c r="J22" s="32">
        <v>100</v>
      </c>
      <c r="K22" s="32">
        <v>200</v>
      </c>
      <c r="L22" s="33">
        <v>20</v>
      </c>
      <c r="M22" s="33">
        <v>5</v>
      </c>
      <c r="N22" s="33">
        <f t="shared" ref="N22:N33" si="54">K22-L22-M22</f>
        <v>175</v>
      </c>
      <c r="O22" s="33">
        <v>0</v>
      </c>
      <c r="P22" s="37"/>
      <c r="Q22" s="33">
        <v>200</v>
      </c>
      <c r="R22" s="33">
        <v>20</v>
      </c>
      <c r="S22" s="33">
        <v>5</v>
      </c>
      <c r="T22" s="33">
        <f t="shared" ref="T22:T33" si="55">Q22-R22-S22</f>
        <v>175</v>
      </c>
      <c r="U22" s="33">
        <v>0</v>
      </c>
      <c r="V22" s="33">
        <v>65.59</v>
      </c>
      <c r="W22" s="38">
        <v>0</v>
      </c>
      <c r="X22" s="33">
        <v>200</v>
      </c>
      <c r="Y22" s="33">
        <v>20</v>
      </c>
      <c r="Z22" s="33">
        <v>5</v>
      </c>
      <c r="AA22" s="33">
        <f t="shared" ref="AA22:AA33" si="56">X22-Y22-Z22</f>
        <v>175</v>
      </c>
      <c r="AB22" s="33">
        <v>0</v>
      </c>
      <c r="AC22" s="33"/>
      <c r="AD22" s="33">
        <f t="shared" ref="AD22:AD33" si="57">SUM(L22+R22+Y22)</f>
        <v>60</v>
      </c>
      <c r="AE22" s="39">
        <f t="shared" ref="AE22:AE27" si="58">AD22%/G22*100</f>
        <v>3.5294117647058823E-2</v>
      </c>
      <c r="AF22" s="33">
        <v>35</v>
      </c>
      <c r="AG22" s="33">
        <f t="shared" ref="AG22:AG33" si="59">AVERAGE(AF22*11.5)</f>
        <v>402.5</v>
      </c>
      <c r="AH22" s="39">
        <f t="shared" ref="AH22:AH33" si="60">AG22%/G22*100</f>
        <v>0.23676470588235293</v>
      </c>
      <c r="AI22" s="33">
        <v>400</v>
      </c>
      <c r="AJ22" s="40">
        <f t="shared" ref="AJ22:AJ33" si="61">AI22%/G22*100</f>
        <v>0.23529411764705879</v>
      </c>
      <c r="AK22" s="41">
        <f t="shared" ref="AK22:AK33" si="62">SUM(AE22+AH22+AJ22)</f>
        <v>0.50735294117647056</v>
      </c>
      <c r="AL22" s="42">
        <v>0.252</v>
      </c>
      <c r="AM22" s="43">
        <v>0.26</v>
      </c>
    </row>
    <row r="23" spans="1:43" ht="15.5">
      <c r="B23" s="31" t="s">
        <v>35</v>
      </c>
      <c r="C23" s="32">
        <v>2000</v>
      </c>
      <c r="D23" s="33">
        <v>300</v>
      </c>
      <c r="E23" s="34">
        <f t="shared" si="49"/>
        <v>0.17647058823529413</v>
      </c>
      <c r="F23" s="35">
        <f t="shared" si="50"/>
        <v>240</v>
      </c>
      <c r="G23" s="36">
        <f t="shared" si="51"/>
        <v>1700</v>
      </c>
      <c r="H23" s="34">
        <f t="shared" si="52"/>
        <v>0.3</v>
      </c>
      <c r="I23" s="33">
        <f t="shared" si="53"/>
        <v>600</v>
      </c>
      <c r="J23" s="32">
        <v>100</v>
      </c>
      <c r="K23" s="32">
        <v>200</v>
      </c>
      <c r="L23" s="33">
        <v>20</v>
      </c>
      <c r="M23" s="33">
        <v>5</v>
      </c>
      <c r="N23" s="33">
        <f t="shared" si="54"/>
        <v>175</v>
      </c>
      <c r="O23" s="33">
        <v>0</v>
      </c>
      <c r="P23" s="37"/>
      <c r="Q23" s="33">
        <v>200</v>
      </c>
      <c r="R23" s="33">
        <v>20</v>
      </c>
      <c r="S23" s="33">
        <v>5</v>
      </c>
      <c r="T23" s="33">
        <f t="shared" si="55"/>
        <v>175</v>
      </c>
      <c r="U23" s="33">
        <v>0</v>
      </c>
      <c r="V23" s="33">
        <v>65.59</v>
      </c>
      <c r="W23" s="38">
        <v>0</v>
      </c>
      <c r="X23" s="33">
        <v>200</v>
      </c>
      <c r="Y23" s="33">
        <v>20</v>
      </c>
      <c r="Z23" s="33">
        <v>5</v>
      </c>
      <c r="AA23" s="33">
        <f t="shared" si="56"/>
        <v>175</v>
      </c>
      <c r="AB23" s="33">
        <v>0</v>
      </c>
      <c r="AC23" s="33"/>
      <c r="AD23" s="33">
        <f t="shared" si="57"/>
        <v>60</v>
      </c>
      <c r="AE23" s="39">
        <f t="shared" si="58"/>
        <v>3.5294117647058823E-2</v>
      </c>
      <c r="AF23" s="33">
        <v>35</v>
      </c>
      <c r="AG23" s="33">
        <f t="shared" si="59"/>
        <v>402.5</v>
      </c>
      <c r="AH23" s="39">
        <f t="shared" si="60"/>
        <v>0.23676470588235293</v>
      </c>
      <c r="AI23" s="33">
        <v>400</v>
      </c>
      <c r="AJ23" s="40">
        <f t="shared" si="61"/>
        <v>0.23529411764705879</v>
      </c>
      <c r="AK23" s="41">
        <f t="shared" si="62"/>
        <v>0.50735294117647056</v>
      </c>
      <c r="AL23" s="42">
        <v>0.252</v>
      </c>
      <c r="AM23" s="43">
        <v>0.26</v>
      </c>
      <c r="AN23" s="44">
        <f>AN5+AI23</f>
        <v>700</v>
      </c>
      <c r="AO23" s="44"/>
      <c r="AP23" s="44"/>
      <c r="AQ23" s="44"/>
    </row>
    <row r="24" spans="1:43" ht="15.5">
      <c r="B24" s="31" t="s">
        <v>36</v>
      </c>
      <c r="C24" s="32">
        <v>2000</v>
      </c>
      <c r="D24" s="33">
        <v>300</v>
      </c>
      <c r="E24" s="34">
        <f t="shared" si="49"/>
        <v>0.17647058823529413</v>
      </c>
      <c r="F24" s="35">
        <f t="shared" si="50"/>
        <v>240</v>
      </c>
      <c r="G24" s="36">
        <f t="shared" si="51"/>
        <v>1700</v>
      </c>
      <c r="H24" s="34">
        <f t="shared" si="52"/>
        <v>0.3</v>
      </c>
      <c r="I24" s="33">
        <f t="shared" si="53"/>
        <v>600</v>
      </c>
      <c r="J24" s="32">
        <v>100</v>
      </c>
      <c r="K24" s="32">
        <v>200</v>
      </c>
      <c r="L24" s="33">
        <v>20</v>
      </c>
      <c r="M24" s="33">
        <v>5</v>
      </c>
      <c r="N24" s="33">
        <f t="shared" si="54"/>
        <v>175</v>
      </c>
      <c r="O24" s="33">
        <v>0</v>
      </c>
      <c r="P24" s="37"/>
      <c r="Q24" s="33">
        <v>200</v>
      </c>
      <c r="R24" s="33">
        <v>20</v>
      </c>
      <c r="S24" s="33">
        <v>5</v>
      </c>
      <c r="T24" s="33">
        <f t="shared" si="55"/>
        <v>175</v>
      </c>
      <c r="U24" s="33">
        <v>0</v>
      </c>
      <c r="V24" s="33">
        <v>369.04</v>
      </c>
      <c r="W24" s="38">
        <v>0</v>
      </c>
      <c r="X24" s="33">
        <v>200</v>
      </c>
      <c r="Y24" s="33">
        <v>20</v>
      </c>
      <c r="Z24" s="33">
        <v>5</v>
      </c>
      <c r="AA24" s="33">
        <f t="shared" si="56"/>
        <v>175</v>
      </c>
      <c r="AB24" s="33">
        <v>0</v>
      </c>
      <c r="AC24" s="33"/>
      <c r="AD24" s="33">
        <f t="shared" si="57"/>
        <v>60</v>
      </c>
      <c r="AE24" s="39">
        <f t="shared" si="58"/>
        <v>3.5294117647058823E-2</v>
      </c>
      <c r="AF24" s="33">
        <v>35</v>
      </c>
      <c r="AG24" s="33">
        <f t="shared" si="59"/>
        <v>402.5</v>
      </c>
      <c r="AH24" s="39">
        <f t="shared" si="60"/>
        <v>0.23676470588235293</v>
      </c>
      <c r="AI24" s="33">
        <v>400</v>
      </c>
      <c r="AJ24" s="40">
        <f t="shared" si="61"/>
        <v>0.23529411764705879</v>
      </c>
      <c r="AK24" s="41">
        <f t="shared" si="62"/>
        <v>0.50735294117647056</v>
      </c>
      <c r="AL24" s="42">
        <v>0.26600000000000001</v>
      </c>
      <c r="AM24" s="43">
        <v>0.23</v>
      </c>
      <c r="AN24" s="44">
        <f>AN6+AI24</f>
        <v>700</v>
      </c>
      <c r="AO24" s="44"/>
      <c r="AP24" s="44"/>
      <c r="AQ24" s="44"/>
    </row>
    <row r="25" spans="1:43" ht="15.5">
      <c r="B25" s="31" t="s">
        <v>37</v>
      </c>
      <c r="C25" s="32">
        <v>2000</v>
      </c>
      <c r="D25" s="33">
        <v>300</v>
      </c>
      <c r="E25" s="34">
        <f t="shared" si="49"/>
        <v>0.17647058823529413</v>
      </c>
      <c r="F25" s="35">
        <f t="shared" si="50"/>
        <v>240</v>
      </c>
      <c r="G25" s="36">
        <f t="shared" si="51"/>
        <v>1700</v>
      </c>
      <c r="H25" s="34">
        <f t="shared" si="52"/>
        <v>0.3</v>
      </c>
      <c r="I25" s="33">
        <f t="shared" si="53"/>
        <v>600</v>
      </c>
      <c r="J25" s="32">
        <v>100</v>
      </c>
      <c r="K25" s="32">
        <v>200</v>
      </c>
      <c r="L25" s="33">
        <v>20</v>
      </c>
      <c r="M25" s="33">
        <v>5</v>
      </c>
      <c r="N25" s="33">
        <f t="shared" si="54"/>
        <v>175</v>
      </c>
      <c r="O25" s="33">
        <v>0</v>
      </c>
      <c r="P25" s="37"/>
      <c r="Q25" s="33">
        <v>200</v>
      </c>
      <c r="R25" s="33">
        <v>20</v>
      </c>
      <c r="S25" s="33">
        <v>5</v>
      </c>
      <c r="T25" s="33">
        <f t="shared" si="55"/>
        <v>175</v>
      </c>
      <c r="U25" s="33">
        <v>0</v>
      </c>
      <c r="V25" s="45">
        <v>272.04000000000002</v>
      </c>
      <c r="W25" s="46">
        <v>0</v>
      </c>
      <c r="X25" s="33">
        <v>200</v>
      </c>
      <c r="Y25" s="33">
        <v>20</v>
      </c>
      <c r="Z25" s="33">
        <v>5</v>
      </c>
      <c r="AA25" s="33">
        <f t="shared" si="56"/>
        <v>175</v>
      </c>
      <c r="AB25" s="33">
        <v>0</v>
      </c>
      <c r="AC25" s="33"/>
      <c r="AD25" s="33">
        <f t="shared" si="57"/>
        <v>60</v>
      </c>
      <c r="AE25" s="39">
        <f t="shared" si="58"/>
        <v>3.5294117647058823E-2</v>
      </c>
      <c r="AF25" s="33">
        <v>35</v>
      </c>
      <c r="AG25" s="33">
        <f t="shared" si="59"/>
        <v>402.5</v>
      </c>
      <c r="AH25" s="39">
        <f t="shared" si="60"/>
        <v>0.23676470588235293</v>
      </c>
      <c r="AI25" s="33">
        <v>400</v>
      </c>
      <c r="AJ25" s="40">
        <f t="shared" si="61"/>
        <v>0.23529411764705879</v>
      </c>
      <c r="AK25" s="41">
        <f t="shared" si="62"/>
        <v>0.50735294117647056</v>
      </c>
      <c r="AL25" s="42">
        <v>0.19800000000000001</v>
      </c>
      <c r="AM25" s="43">
        <v>0.27</v>
      </c>
      <c r="AN25" s="44">
        <f>AN7+AI25</f>
        <v>700</v>
      </c>
      <c r="AO25" s="44"/>
      <c r="AP25" s="44"/>
      <c r="AQ25" s="44"/>
    </row>
    <row r="26" spans="1:43" ht="15.5">
      <c r="B26" s="31" t="s">
        <v>38</v>
      </c>
      <c r="C26" s="32">
        <v>2000</v>
      </c>
      <c r="D26" s="33">
        <v>300</v>
      </c>
      <c r="E26" s="34">
        <f t="shared" si="49"/>
        <v>0.17647058823529413</v>
      </c>
      <c r="F26" s="35">
        <f t="shared" si="50"/>
        <v>240</v>
      </c>
      <c r="G26" s="36">
        <f t="shared" si="51"/>
        <v>1700</v>
      </c>
      <c r="H26" s="34">
        <f t="shared" si="52"/>
        <v>0.3</v>
      </c>
      <c r="I26" s="33">
        <f t="shared" si="53"/>
        <v>600</v>
      </c>
      <c r="J26" s="32">
        <v>100</v>
      </c>
      <c r="K26" s="32">
        <v>200</v>
      </c>
      <c r="L26" s="33">
        <v>20</v>
      </c>
      <c r="M26" s="33">
        <v>5</v>
      </c>
      <c r="N26" s="33">
        <f t="shared" si="54"/>
        <v>175</v>
      </c>
      <c r="O26" s="33">
        <v>0</v>
      </c>
      <c r="P26" s="37"/>
      <c r="Q26" s="33">
        <v>200</v>
      </c>
      <c r="R26" s="33">
        <v>20</v>
      </c>
      <c r="S26" s="33">
        <v>5</v>
      </c>
      <c r="T26" s="33">
        <f t="shared" si="55"/>
        <v>175</v>
      </c>
      <c r="U26" s="33">
        <v>0</v>
      </c>
      <c r="V26" s="33">
        <v>277.3</v>
      </c>
      <c r="W26" s="38">
        <v>0</v>
      </c>
      <c r="X26" s="33">
        <v>200</v>
      </c>
      <c r="Y26" s="33">
        <v>20</v>
      </c>
      <c r="Z26" s="33">
        <v>5</v>
      </c>
      <c r="AA26" s="33">
        <f t="shared" si="56"/>
        <v>175</v>
      </c>
      <c r="AB26" s="33">
        <v>0</v>
      </c>
      <c r="AC26" s="33"/>
      <c r="AD26" s="33">
        <f t="shared" si="57"/>
        <v>60</v>
      </c>
      <c r="AE26" s="39">
        <f t="shared" si="58"/>
        <v>3.5294117647058823E-2</v>
      </c>
      <c r="AF26" s="33">
        <v>35</v>
      </c>
      <c r="AG26" s="33">
        <f t="shared" si="59"/>
        <v>402.5</v>
      </c>
      <c r="AH26" s="39">
        <f t="shared" si="60"/>
        <v>0.23676470588235293</v>
      </c>
      <c r="AI26" s="33">
        <v>400</v>
      </c>
      <c r="AJ26" s="40">
        <f t="shared" si="61"/>
        <v>0.23529411764705879</v>
      </c>
      <c r="AK26" s="41">
        <f t="shared" si="62"/>
        <v>0.50735294117647056</v>
      </c>
      <c r="AL26" s="42">
        <v>0.24</v>
      </c>
      <c r="AM26" s="43">
        <v>0.22</v>
      </c>
      <c r="AN26" s="44">
        <f>AN8+AI26</f>
        <v>700</v>
      </c>
      <c r="AO26" s="44"/>
      <c r="AP26" s="44"/>
      <c r="AQ26" s="44"/>
    </row>
    <row r="27" spans="1:43" ht="15.5">
      <c r="B27" s="31" t="s">
        <v>39</v>
      </c>
      <c r="C27" s="32">
        <v>2000</v>
      </c>
      <c r="D27" s="33">
        <v>300</v>
      </c>
      <c r="E27" s="34">
        <f t="shared" si="49"/>
        <v>0.17647058823529413</v>
      </c>
      <c r="F27" s="35">
        <f t="shared" si="50"/>
        <v>240</v>
      </c>
      <c r="G27" s="36">
        <f t="shared" si="51"/>
        <v>1700</v>
      </c>
      <c r="H27" s="34">
        <f t="shared" si="52"/>
        <v>0.3</v>
      </c>
      <c r="I27" s="33">
        <f t="shared" si="53"/>
        <v>600</v>
      </c>
      <c r="J27" s="32">
        <v>100</v>
      </c>
      <c r="K27" s="32">
        <v>200</v>
      </c>
      <c r="L27" s="33">
        <v>20</v>
      </c>
      <c r="M27" s="33">
        <v>5</v>
      </c>
      <c r="N27" s="33">
        <f t="shared" si="54"/>
        <v>175</v>
      </c>
      <c r="O27" s="33">
        <v>0</v>
      </c>
      <c r="P27" s="37"/>
      <c r="Q27" s="33">
        <v>200</v>
      </c>
      <c r="R27" s="33">
        <v>20</v>
      </c>
      <c r="S27" s="33">
        <v>5</v>
      </c>
      <c r="T27" s="33">
        <f t="shared" si="55"/>
        <v>175</v>
      </c>
      <c r="U27" s="33">
        <v>0</v>
      </c>
      <c r="V27" s="45">
        <v>209.34</v>
      </c>
      <c r="W27" s="46">
        <v>0</v>
      </c>
      <c r="X27" s="33">
        <v>200</v>
      </c>
      <c r="Y27" s="33">
        <v>20</v>
      </c>
      <c r="Z27" s="33">
        <v>5</v>
      </c>
      <c r="AA27" s="33">
        <f t="shared" si="56"/>
        <v>175</v>
      </c>
      <c r="AB27" s="33">
        <v>0</v>
      </c>
      <c r="AC27" s="33"/>
      <c r="AD27" s="33">
        <f t="shared" si="57"/>
        <v>60</v>
      </c>
      <c r="AE27" s="39">
        <f t="shared" si="58"/>
        <v>3.5294117647058823E-2</v>
      </c>
      <c r="AF27" s="33">
        <v>35</v>
      </c>
      <c r="AG27" s="33">
        <f t="shared" si="59"/>
        <v>402.5</v>
      </c>
      <c r="AH27" s="39">
        <f t="shared" si="60"/>
        <v>0.23676470588235293</v>
      </c>
      <c r="AI27" s="33">
        <v>400</v>
      </c>
      <c r="AJ27" s="40">
        <f t="shared" si="61"/>
        <v>0.23529411764705879</v>
      </c>
      <c r="AK27" s="41">
        <f t="shared" si="62"/>
        <v>0.50735294117647056</v>
      </c>
      <c r="AL27" s="42">
        <v>0.24299999999999999</v>
      </c>
      <c r="AM27" s="43">
        <v>0.22</v>
      </c>
      <c r="AN27" s="44">
        <f>AN9+AI27</f>
        <v>700</v>
      </c>
      <c r="AO27" s="44"/>
      <c r="AP27" s="44"/>
      <c r="AQ27" s="44"/>
    </row>
    <row r="28" spans="1:43" ht="15.5">
      <c r="B28" s="31" t="s">
        <v>40</v>
      </c>
      <c r="C28" s="32">
        <v>2000</v>
      </c>
      <c r="D28" s="33">
        <v>300</v>
      </c>
      <c r="E28" s="34">
        <f t="shared" si="49"/>
        <v>0.17647058823529413</v>
      </c>
      <c r="F28" s="35">
        <f t="shared" si="50"/>
        <v>240</v>
      </c>
      <c r="G28" s="36">
        <f t="shared" si="51"/>
        <v>1700</v>
      </c>
      <c r="H28" s="34">
        <f t="shared" si="52"/>
        <v>0.3</v>
      </c>
      <c r="I28" s="33">
        <f t="shared" si="53"/>
        <v>600</v>
      </c>
      <c r="J28" s="32">
        <v>100</v>
      </c>
      <c r="K28" s="32">
        <v>200</v>
      </c>
      <c r="L28" s="33">
        <v>20</v>
      </c>
      <c r="M28" s="33">
        <v>5</v>
      </c>
      <c r="N28" s="33">
        <f t="shared" si="54"/>
        <v>175</v>
      </c>
      <c r="O28" s="33">
        <v>0</v>
      </c>
      <c r="P28" s="37"/>
      <c r="Q28" s="33">
        <v>200</v>
      </c>
      <c r="R28" s="33">
        <v>20</v>
      </c>
      <c r="S28" s="33">
        <v>5</v>
      </c>
      <c r="T28" s="33">
        <f t="shared" si="55"/>
        <v>175</v>
      </c>
      <c r="U28" s="33">
        <v>0</v>
      </c>
      <c r="V28" s="33"/>
      <c r="W28" s="38">
        <v>0</v>
      </c>
      <c r="X28" s="33">
        <v>200</v>
      </c>
      <c r="Y28" s="33">
        <v>20</v>
      </c>
      <c r="Z28" s="33">
        <v>5</v>
      </c>
      <c r="AA28" s="33">
        <f t="shared" si="56"/>
        <v>175</v>
      </c>
      <c r="AB28" s="33">
        <v>0</v>
      </c>
      <c r="AC28" s="33"/>
      <c r="AD28" s="33">
        <f t="shared" si="57"/>
        <v>60</v>
      </c>
      <c r="AE28" s="39"/>
      <c r="AF28" s="33">
        <v>35</v>
      </c>
      <c r="AG28" s="33">
        <f t="shared" si="59"/>
        <v>402.5</v>
      </c>
      <c r="AH28" s="39">
        <f t="shared" si="60"/>
        <v>0.23676470588235293</v>
      </c>
      <c r="AI28" s="33">
        <v>400</v>
      </c>
      <c r="AJ28" s="40">
        <f t="shared" si="61"/>
        <v>0.23529411764705879</v>
      </c>
      <c r="AK28" s="41">
        <f t="shared" si="62"/>
        <v>0.47205882352941175</v>
      </c>
      <c r="AL28" s="42">
        <v>0.16500000000000001</v>
      </c>
      <c r="AM28" s="43">
        <v>0.14000000000000001</v>
      </c>
      <c r="AN28" s="44">
        <f>AN10+AI28</f>
        <v>700</v>
      </c>
      <c r="AO28" s="44"/>
      <c r="AP28" s="44"/>
      <c r="AQ28" s="44"/>
    </row>
    <row r="29" spans="1:43" ht="14.25" customHeight="1">
      <c r="B29" s="31" t="s">
        <v>41</v>
      </c>
      <c r="C29" s="32">
        <v>2000</v>
      </c>
      <c r="D29" s="33">
        <v>300</v>
      </c>
      <c r="E29" s="34">
        <f t="shared" si="49"/>
        <v>0.17647058823529413</v>
      </c>
      <c r="F29" s="35">
        <f t="shared" si="50"/>
        <v>240</v>
      </c>
      <c r="G29" s="36">
        <f t="shared" si="51"/>
        <v>1700</v>
      </c>
      <c r="H29" s="34">
        <f t="shared" si="52"/>
        <v>0.3</v>
      </c>
      <c r="I29" s="33">
        <f t="shared" si="53"/>
        <v>600</v>
      </c>
      <c r="J29" s="32">
        <v>100</v>
      </c>
      <c r="K29" s="32">
        <v>200</v>
      </c>
      <c r="L29" s="33">
        <v>20</v>
      </c>
      <c r="M29" s="33">
        <v>5</v>
      </c>
      <c r="N29" s="33">
        <f t="shared" si="54"/>
        <v>175</v>
      </c>
      <c r="O29" s="33">
        <v>0</v>
      </c>
      <c r="P29" s="37"/>
      <c r="Q29" s="33">
        <v>200</v>
      </c>
      <c r="R29" s="33">
        <v>20</v>
      </c>
      <c r="S29" s="33">
        <v>5</v>
      </c>
      <c r="T29" s="33">
        <f t="shared" si="55"/>
        <v>175</v>
      </c>
      <c r="U29" s="33">
        <v>0</v>
      </c>
      <c r="V29" s="33">
        <v>211.51</v>
      </c>
      <c r="W29" s="38">
        <v>0</v>
      </c>
      <c r="X29" s="33">
        <v>200</v>
      </c>
      <c r="Y29" s="33">
        <v>20</v>
      </c>
      <c r="Z29" s="33">
        <v>5</v>
      </c>
      <c r="AA29" s="33">
        <f t="shared" si="56"/>
        <v>175</v>
      </c>
      <c r="AB29" s="33">
        <v>0</v>
      </c>
      <c r="AC29" s="33"/>
      <c r="AD29" s="33">
        <f t="shared" si="57"/>
        <v>60</v>
      </c>
      <c r="AE29" s="39">
        <f t="shared" ref="AE29:AE33" si="63">AD29%/G29*100</f>
        <v>3.5294117647058823E-2</v>
      </c>
      <c r="AF29" s="33">
        <v>35</v>
      </c>
      <c r="AG29" s="33">
        <f t="shared" si="59"/>
        <v>402.5</v>
      </c>
      <c r="AH29" s="39">
        <f t="shared" si="60"/>
        <v>0.23676470588235293</v>
      </c>
      <c r="AI29" s="33">
        <v>400</v>
      </c>
      <c r="AJ29" s="40">
        <f t="shared" si="61"/>
        <v>0.23529411764705879</v>
      </c>
      <c r="AK29" s="41">
        <f t="shared" si="62"/>
        <v>0.50735294117647056</v>
      </c>
      <c r="AL29" s="42">
        <v>0.251</v>
      </c>
      <c r="AM29" s="43">
        <v>0.23</v>
      </c>
      <c r="AN29" s="44">
        <f>AN11+AI29</f>
        <v>700</v>
      </c>
      <c r="AO29" s="44"/>
      <c r="AP29" s="44"/>
      <c r="AQ29" s="44"/>
    </row>
    <row r="30" spans="1:43" ht="13.5" customHeight="1">
      <c r="B30" s="31" t="s">
        <v>42</v>
      </c>
      <c r="C30" s="32">
        <v>2000</v>
      </c>
      <c r="D30" s="33">
        <v>300</v>
      </c>
      <c r="E30" s="34">
        <f t="shared" si="49"/>
        <v>0.17647058823529413</v>
      </c>
      <c r="F30" s="35">
        <f t="shared" si="50"/>
        <v>240</v>
      </c>
      <c r="G30" s="36">
        <f t="shared" si="51"/>
        <v>1700</v>
      </c>
      <c r="H30" s="34">
        <f t="shared" si="52"/>
        <v>0.3</v>
      </c>
      <c r="I30" s="33">
        <f t="shared" si="53"/>
        <v>600</v>
      </c>
      <c r="J30" s="32">
        <v>100</v>
      </c>
      <c r="K30" s="32">
        <v>200</v>
      </c>
      <c r="L30" s="33">
        <v>20</v>
      </c>
      <c r="M30" s="33">
        <v>5</v>
      </c>
      <c r="N30" s="33">
        <f t="shared" si="54"/>
        <v>175</v>
      </c>
      <c r="O30" s="33">
        <v>0</v>
      </c>
      <c r="P30" s="37"/>
      <c r="Q30" s="33">
        <v>200</v>
      </c>
      <c r="R30" s="33">
        <v>20</v>
      </c>
      <c r="S30" s="33">
        <v>5</v>
      </c>
      <c r="T30" s="33">
        <f t="shared" si="55"/>
        <v>175</v>
      </c>
      <c r="U30" s="33">
        <v>0</v>
      </c>
      <c r="V30" s="33">
        <v>125.91</v>
      </c>
      <c r="W30" s="38">
        <v>0</v>
      </c>
      <c r="X30" s="33">
        <v>200</v>
      </c>
      <c r="Y30" s="33">
        <v>20</v>
      </c>
      <c r="Z30" s="33">
        <v>5</v>
      </c>
      <c r="AA30" s="33">
        <f t="shared" si="56"/>
        <v>175</v>
      </c>
      <c r="AB30" s="33">
        <v>0</v>
      </c>
      <c r="AC30" s="33"/>
      <c r="AD30" s="33">
        <f t="shared" si="57"/>
        <v>60</v>
      </c>
      <c r="AE30" s="39">
        <f t="shared" si="63"/>
        <v>3.5294117647058823E-2</v>
      </c>
      <c r="AF30" s="33">
        <v>35</v>
      </c>
      <c r="AG30" s="33">
        <f t="shared" si="59"/>
        <v>402.5</v>
      </c>
      <c r="AH30" s="39">
        <f t="shared" si="60"/>
        <v>0.23676470588235293</v>
      </c>
      <c r="AI30" s="33">
        <v>400</v>
      </c>
      <c r="AJ30" s="40">
        <f t="shared" si="61"/>
        <v>0.23529411764705879</v>
      </c>
      <c r="AK30" s="41">
        <f t="shared" si="62"/>
        <v>0.50735294117647056</v>
      </c>
      <c r="AL30" s="42">
        <v>0.27</v>
      </c>
      <c r="AM30" s="43">
        <v>0.23</v>
      </c>
      <c r="AN30" s="44">
        <f>AN12+AI30</f>
        <v>700</v>
      </c>
      <c r="AO30" s="44"/>
      <c r="AP30" s="44"/>
    </row>
    <row r="31" spans="1:43" ht="13.5" customHeight="1">
      <c r="B31" s="31" t="s">
        <v>137</v>
      </c>
      <c r="C31" s="32">
        <v>2000</v>
      </c>
      <c r="D31" s="33">
        <v>300</v>
      </c>
      <c r="E31" s="34">
        <f t="shared" si="49"/>
        <v>0.17647058823529413</v>
      </c>
      <c r="F31" s="35">
        <f t="shared" si="50"/>
        <v>240</v>
      </c>
      <c r="G31" s="36">
        <f t="shared" si="51"/>
        <v>1700</v>
      </c>
      <c r="H31" s="34">
        <f t="shared" si="52"/>
        <v>0.3</v>
      </c>
      <c r="I31" s="33">
        <f t="shared" si="53"/>
        <v>600</v>
      </c>
      <c r="J31" s="32">
        <v>100</v>
      </c>
      <c r="K31" s="32">
        <v>200</v>
      </c>
      <c r="L31" s="33">
        <v>20</v>
      </c>
      <c r="M31" s="33">
        <v>5</v>
      </c>
      <c r="N31" s="33">
        <f t="shared" si="54"/>
        <v>175</v>
      </c>
      <c r="O31" s="33">
        <v>0</v>
      </c>
      <c r="P31" s="37"/>
      <c r="Q31" s="33">
        <v>200</v>
      </c>
      <c r="R31" s="33">
        <v>20</v>
      </c>
      <c r="S31" s="33">
        <v>5</v>
      </c>
      <c r="T31" s="33">
        <f t="shared" si="55"/>
        <v>175</v>
      </c>
      <c r="U31" s="33">
        <v>0</v>
      </c>
      <c r="V31" s="33">
        <v>65.59</v>
      </c>
      <c r="W31" s="38">
        <v>0</v>
      </c>
      <c r="X31" s="33">
        <v>200</v>
      </c>
      <c r="Y31" s="33">
        <v>20</v>
      </c>
      <c r="Z31" s="33">
        <v>5</v>
      </c>
      <c r="AA31" s="33">
        <f t="shared" si="56"/>
        <v>175</v>
      </c>
      <c r="AB31" s="33">
        <v>0</v>
      </c>
      <c r="AC31" s="33"/>
      <c r="AD31" s="33">
        <f t="shared" si="57"/>
        <v>60</v>
      </c>
      <c r="AE31" s="39">
        <f t="shared" si="63"/>
        <v>3.5294117647058823E-2</v>
      </c>
      <c r="AF31" s="33">
        <v>35</v>
      </c>
      <c r="AG31" s="33">
        <f t="shared" si="59"/>
        <v>402.5</v>
      </c>
      <c r="AH31" s="39">
        <f t="shared" si="60"/>
        <v>0.23676470588235293</v>
      </c>
      <c r="AI31" s="33">
        <v>400</v>
      </c>
      <c r="AJ31" s="40">
        <f t="shared" si="61"/>
        <v>0.23529411764705879</v>
      </c>
      <c r="AK31" s="41">
        <f t="shared" si="62"/>
        <v>0.50735294117647056</v>
      </c>
      <c r="AL31" s="42">
        <v>0.252</v>
      </c>
      <c r="AM31" s="43">
        <v>0.26</v>
      </c>
      <c r="AN31" s="44"/>
      <c r="AO31" s="44"/>
      <c r="AP31" s="44"/>
    </row>
    <row r="32" spans="1:43" ht="13.5" customHeight="1">
      <c r="B32" s="31" t="s">
        <v>43</v>
      </c>
      <c r="C32" s="32">
        <v>2000</v>
      </c>
      <c r="D32" s="33">
        <v>300</v>
      </c>
      <c r="E32" s="34">
        <f t="shared" si="49"/>
        <v>0.17647058823529413</v>
      </c>
      <c r="F32" s="35">
        <f t="shared" si="50"/>
        <v>240</v>
      </c>
      <c r="G32" s="36">
        <f t="shared" si="51"/>
        <v>1700</v>
      </c>
      <c r="H32" s="34">
        <f t="shared" si="52"/>
        <v>0.3</v>
      </c>
      <c r="I32" s="33">
        <f t="shared" si="53"/>
        <v>600</v>
      </c>
      <c r="J32" s="32">
        <v>100</v>
      </c>
      <c r="K32" s="32">
        <v>200</v>
      </c>
      <c r="L32" s="33">
        <v>20</v>
      </c>
      <c r="M32" s="33">
        <v>5</v>
      </c>
      <c r="N32" s="33">
        <f t="shared" si="54"/>
        <v>175</v>
      </c>
      <c r="O32" s="33">
        <v>0</v>
      </c>
      <c r="P32" s="37"/>
      <c r="Q32" s="33">
        <v>200</v>
      </c>
      <c r="R32" s="33">
        <v>20</v>
      </c>
      <c r="S32" s="33">
        <v>5</v>
      </c>
      <c r="T32" s="33">
        <f t="shared" si="55"/>
        <v>175</v>
      </c>
      <c r="U32" s="33">
        <v>0</v>
      </c>
      <c r="V32" s="33">
        <v>44.09</v>
      </c>
      <c r="W32" s="38">
        <v>0</v>
      </c>
      <c r="X32" s="33">
        <v>200</v>
      </c>
      <c r="Y32" s="33">
        <v>20</v>
      </c>
      <c r="Z32" s="33">
        <v>5</v>
      </c>
      <c r="AA32" s="33">
        <f t="shared" si="56"/>
        <v>175</v>
      </c>
      <c r="AB32" s="33">
        <v>0</v>
      </c>
      <c r="AC32" s="33"/>
      <c r="AD32" s="33">
        <f t="shared" si="57"/>
        <v>60</v>
      </c>
      <c r="AE32" s="39">
        <f t="shared" si="63"/>
        <v>3.5294117647058823E-2</v>
      </c>
      <c r="AF32" s="33">
        <v>35</v>
      </c>
      <c r="AG32" s="33">
        <f t="shared" si="59"/>
        <v>402.5</v>
      </c>
      <c r="AH32" s="39">
        <f t="shared" si="60"/>
        <v>0.23676470588235293</v>
      </c>
      <c r="AI32" s="33">
        <v>400</v>
      </c>
      <c r="AJ32" s="40">
        <f t="shared" si="61"/>
        <v>0.23529411764705879</v>
      </c>
      <c r="AK32" s="41">
        <f t="shared" si="62"/>
        <v>0.50735294117647056</v>
      </c>
      <c r="AL32" s="42">
        <v>0.29199999999999998</v>
      </c>
      <c r="AM32" s="43">
        <v>0.28999999999999998</v>
      </c>
      <c r="AN32" s="44">
        <f>AN14+AI32</f>
        <v>700</v>
      </c>
      <c r="AO32" s="44"/>
      <c r="AP32" s="44"/>
    </row>
    <row r="33" spans="1:43" ht="13.5" customHeight="1">
      <c r="B33" s="31" t="s">
        <v>44</v>
      </c>
      <c r="C33" s="32">
        <v>2000</v>
      </c>
      <c r="D33" s="33">
        <v>300</v>
      </c>
      <c r="E33" s="34">
        <f t="shared" si="49"/>
        <v>0.17647058823529413</v>
      </c>
      <c r="F33" s="35">
        <f t="shared" si="50"/>
        <v>240</v>
      </c>
      <c r="G33" s="36">
        <f t="shared" si="51"/>
        <v>1700</v>
      </c>
      <c r="H33" s="34">
        <f t="shared" si="52"/>
        <v>0.3</v>
      </c>
      <c r="I33" s="33">
        <f t="shared" si="53"/>
        <v>600</v>
      </c>
      <c r="J33" s="32">
        <v>100</v>
      </c>
      <c r="K33" s="32">
        <v>200</v>
      </c>
      <c r="L33" s="33">
        <v>20</v>
      </c>
      <c r="M33" s="33">
        <v>5</v>
      </c>
      <c r="N33" s="33">
        <f t="shared" si="54"/>
        <v>175</v>
      </c>
      <c r="O33" s="33">
        <v>0</v>
      </c>
      <c r="P33" s="37"/>
      <c r="Q33" s="33">
        <v>200</v>
      </c>
      <c r="R33" s="33">
        <v>20</v>
      </c>
      <c r="S33" s="33">
        <v>5</v>
      </c>
      <c r="T33" s="33">
        <f t="shared" si="55"/>
        <v>175</v>
      </c>
      <c r="U33" s="33">
        <v>0</v>
      </c>
      <c r="V33" s="33">
        <v>283.87</v>
      </c>
      <c r="W33" s="38">
        <v>0</v>
      </c>
      <c r="X33" s="33">
        <v>200</v>
      </c>
      <c r="Y33" s="33">
        <v>20</v>
      </c>
      <c r="Z33" s="33">
        <v>5</v>
      </c>
      <c r="AA33" s="33">
        <f t="shared" si="56"/>
        <v>175</v>
      </c>
      <c r="AB33" s="33">
        <v>0</v>
      </c>
      <c r="AC33" s="33"/>
      <c r="AD33" s="33">
        <f t="shared" si="57"/>
        <v>60</v>
      </c>
      <c r="AE33" s="39">
        <f t="shared" si="63"/>
        <v>3.5294117647058823E-2</v>
      </c>
      <c r="AF33" s="33">
        <v>35</v>
      </c>
      <c r="AG33" s="33">
        <f t="shared" si="59"/>
        <v>402.5</v>
      </c>
      <c r="AH33" s="39">
        <f t="shared" si="60"/>
        <v>0.23676470588235293</v>
      </c>
      <c r="AI33" s="33">
        <v>400</v>
      </c>
      <c r="AJ33" s="40">
        <f t="shared" si="61"/>
        <v>0.23529411764705879</v>
      </c>
      <c r="AK33" s="41">
        <f t="shared" si="62"/>
        <v>0.50735294117647056</v>
      </c>
      <c r="AL33" s="42">
        <v>0.223</v>
      </c>
      <c r="AM33" s="43">
        <v>0.26</v>
      </c>
      <c r="AN33" s="44">
        <f>AN15+AI33</f>
        <v>700</v>
      </c>
      <c r="AO33" s="44"/>
    </row>
    <row r="34" spans="1:43" ht="19.5" customHeight="1">
      <c r="B34" s="31"/>
      <c r="C34" s="32"/>
      <c r="D34" s="33"/>
      <c r="E34" s="47"/>
      <c r="F34" s="48"/>
      <c r="G34" s="36"/>
      <c r="H34" s="47"/>
      <c r="I34" s="33"/>
      <c r="J34" s="32"/>
      <c r="K34" s="32"/>
      <c r="L34" s="33"/>
      <c r="M34" s="33"/>
      <c r="N34" s="33"/>
      <c r="O34" s="33"/>
      <c r="P34" s="37"/>
      <c r="Q34" s="49"/>
      <c r="R34" s="33"/>
      <c r="S34" s="33"/>
      <c r="T34" s="33"/>
      <c r="U34" s="33"/>
      <c r="V34" s="33"/>
      <c r="W34" s="38"/>
      <c r="X34" s="49"/>
      <c r="Y34" s="33"/>
      <c r="Z34" s="33"/>
      <c r="AA34" s="33"/>
      <c r="AB34" s="33"/>
      <c r="AC34" s="33"/>
      <c r="AD34" s="33"/>
      <c r="AE34" s="39"/>
      <c r="AF34" s="50"/>
      <c r="AG34" s="33"/>
      <c r="AH34" s="39"/>
      <c r="AI34" s="49"/>
      <c r="AJ34" s="40"/>
      <c r="AK34" s="41"/>
      <c r="AL34" s="42"/>
      <c r="AM34" s="43"/>
      <c r="AP34" s="44"/>
    </row>
    <row r="35" spans="1:43" ht="16" thickBot="1">
      <c r="B35" s="51" t="s">
        <v>45</v>
      </c>
      <c r="C35" s="52">
        <f t="shared" ref="C35:D35" si="64">SUM(C23:C34)</f>
        <v>22000</v>
      </c>
      <c r="D35" s="53">
        <f t="shared" si="64"/>
        <v>3300</v>
      </c>
      <c r="E35" s="54">
        <f>D35%/G35*100</f>
        <v>0.17647058823529413</v>
      </c>
      <c r="F35" s="55">
        <f t="shared" ref="F35:G35" si="65">SUM(F23:F34)</f>
        <v>2640</v>
      </c>
      <c r="G35" s="56">
        <f t="shared" si="65"/>
        <v>18700</v>
      </c>
      <c r="H35" s="54">
        <f>AVERAGE(H23:H34)</f>
        <v>0.29999999999999993</v>
      </c>
      <c r="I35" s="53">
        <f t="shared" ref="I35:V35" si="66">SUM(I23:I34)</f>
        <v>6600</v>
      </c>
      <c r="J35" s="52">
        <f t="shared" si="66"/>
        <v>1100</v>
      </c>
      <c r="K35" s="52">
        <f t="shared" si="66"/>
        <v>2200</v>
      </c>
      <c r="L35" s="53">
        <f t="shared" si="66"/>
        <v>220</v>
      </c>
      <c r="M35" s="53">
        <f t="shared" si="66"/>
        <v>55</v>
      </c>
      <c r="N35" s="53">
        <f t="shared" si="66"/>
        <v>1925</v>
      </c>
      <c r="O35" s="53">
        <f t="shared" si="66"/>
        <v>0</v>
      </c>
      <c r="P35" s="53">
        <f t="shared" si="66"/>
        <v>0</v>
      </c>
      <c r="Q35" s="57">
        <f t="shared" si="66"/>
        <v>2200</v>
      </c>
      <c r="R35" s="53">
        <f t="shared" si="66"/>
        <v>220</v>
      </c>
      <c r="S35" s="53">
        <f t="shared" si="66"/>
        <v>55</v>
      </c>
      <c r="T35" s="53">
        <f t="shared" si="66"/>
        <v>1925</v>
      </c>
      <c r="U35" s="53">
        <f t="shared" si="66"/>
        <v>0</v>
      </c>
      <c r="V35" s="53">
        <f t="shared" si="66"/>
        <v>1924.2799999999997</v>
      </c>
      <c r="W35" s="58">
        <f>AVERAGE(W23:W34)</f>
        <v>0</v>
      </c>
      <c r="X35" s="57">
        <f t="shared" ref="X35:AC35" si="67">SUM(X23:X34)</f>
        <v>2200</v>
      </c>
      <c r="Y35" s="53">
        <f t="shared" si="67"/>
        <v>220</v>
      </c>
      <c r="Z35" s="53">
        <f t="shared" si="67"/>
        <v>55</v>
      </c>
      <c r="AA35" s="53">
        <f t="shared" si="67"/>
        <v>1925</v>
      </c>
      <c r="AB35" s="53">
        <f t="shared" si="67"/>
        <v>0</v>
      </c>
      <c r="AC35" s="53">
        <f t="shared" si="67"/>
        <v>0</v>
      </c>
      <c r="AD35" s="53">
        <f>SUM(L35+R35+Y35)</f>
        <v>660</v>
      </c>
      <c r="AE35" s="59">
        <f>AVERAGE(AE23:AE34)</f>
        <v>3.5294117647058816E-2</v>
      </c>
      <c r="AF35" s="57">
        <f t="shared" ref="AF35:AG35" si="68">SUM(AF23:AF34)</f>
        <v>385</v>
      </c>
      <c r="AG35" s="53">
        <f t="shared" si="68"/>
        <v>4427.5</v>
      </c>
      <c r="AH35" s="59">
        <f>AG35%/G35*100</f>
        <v>0.23676470588235293</v>
      </c>
      <c r="AI35" s="57">
        <f>SUM(AI23:AI34)</f>
        <v>4400</v>
      </c>
      <c r="AJ35" s="60">
        <f>AI35%/G35*100</f>
        <v>0.23529411764705879</v>
      </c>
      <c r="AK35" s="61">
        <f>SUM(AE35+AH35+AJ35)</f>
        <v>0.50735294117647056</v>
      </c>
      <c r="AL35" s="62">
        <f t="shared" ref="AL35:AM35" si="69">AVERAGE(AL23:AL34)</f>
        <v>0.24109090909090902</v>
      </c>
      <c r="AM35" s="63">
        <f t="shared" si="69"/>
        <v>0.23727272727272722</v>
      </c>
      <c r="AN35" s="44">
        <f>SUM(AN23:AN34)</f>
        <v>7000</v>
      </c>
      <c r="AO35" s="44"/>
    </row>
    <row r="36" spans="1:43" ht="15.5">
      <c r="B36" s="64"/>
    </row>
    <row r="37" spans="1:43" ht="16" thickBot="1">
      <c r="B37" s="2" t="s">
        <v>48</v>
      </c>
      <c r="C37" s="285"/>
      <c r="D37" s="28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43" ht="47" thickBot="1">
      <c r="A38" s="5">
        <v>3</v>
      </c>
      <c r="B38" s="6" t="s">
        <v>1</v>
      </c>
      <c r="C38" s="7" t="s">
        <v>2</v>
      </c>
      <c r="D38" s="8" t="s">
        <v>3</v>
      </c>
      <c r="E38" s="8" t="s">
        <v>4</v>
      </c>
      <c r="F38" s="9" t="s">
        <v>5</v>
      </c>
      <c r="G38" s="10" t="s">
        <v>6</v>
      </c>
      <c r="H38" s="8" t="s">
        <v>7</v>
      </c>
      <c r="I38" s="8" t="s">
        <v>8</v>
      </c>
      <c r="J38" s="7" t="s">
        <v>9</v>
      </c>
      <c r="K38" s="7" t="s">
        <v>10</v>
      </c>
      <c r="L38" s="8" t="s">
        <v>11</v>
      </c>
      <c r="M38" s="8" t="s">
        <v>12</v>
      </c>
      <c r="N38" s="8" t="s">
        <v>13</v>
      </c>
      <c r="O38" s="8" t="s">
        <v>14</v>
      </c>
      <c r="P38" s="8" t="s">
        <v>15</v>
      </c>
      <c r="Q38" s="8" t="s">
        <v>16</v>
      </c>
      <c r="R38" s="8" t="s">
        <v>17</v>
      </c>
      <c r="S38" s="8" t="s">
        <v>12</v>
      </c>
      <c r="T38" s="8" t="s">
        <v>18</v>
      </c>
      <c r="U38" s="8" t="s">
        <v>14</v>
      </c>
      <c r="V38" s="11" t="s">
        <v>19</v>
      </c>
      <c r="W38" s="8" t="s">
        <v>20</v>
      </c>
      <c r="X38" s="8" t="s">
        <v>21</v>
      </c>
      <c r="Y38" s="8" t="s">
        <v>22</v>
      </c>
      <c r="Z38" s="8" t="s">
        <v>12</v>
      </c>
      <c r="AA38" s="8" t="s">
        <v>23</v>
      </c>
      <c r="AB38" s="8" t="s">
        <v>14</v>
      </c>
      <c r="AC38" s="8" t="s">
        <v>15</v>
      </c>
      <c r="AD38" s="8" t="s">
        <v>24</v>
      </c>
      <c r="AE38" s="8" t="s">
        <v>25</v>
      </c>
      <c r="AF38" s="8" t="s">
        <v>26</v>
      </c>
      <c r="AG38" s="8" t="s">
        <v>27</v>
      </c>
      <c r="AH38" s="8" t="s">
        <v>28</v>
      </c>
      <c r="AI38" s="8" t="s">
        <v>29</v>
      </c>
      <c r="AJ38" s="10" t="s">
        <v>30</v>
      </c>
      <c r="AK38" s="12" t="s">
        <v>31</v>
      </c>
      <c r="AL38" s="13" t="s">
        <v>32</v>
      </c>
      <c r="AM38" s="14" t="s">
        <v>33</v>
      </c>
      <c r="AN38" s="15" t="s">
        <v>49</v>
      </c>
      <c r="AO38" s="16"/>
      <c r="AP38" s="17"/>
    </row>
    <row r="39" spans="1:43" ht="15.5">
      <c r="A39" s="18"/>
      <c r="B39" s="19"/>
      <c r="C39" s="20"/>
      <c r="D39" s="21"/>
      <c r="E39" s="21"/>
      <c r="F39" s="22"/>
      <c r="G39" s="23"/>
      <c r="H39" s="24"/>
      <c r="I39" s="24"/>
      <c r="J39" s="25"/>
      <c r="K39" s="20"/>
      <c r="L39" s="21"/>
      <c r="M39" s="21"/>
      <c r="N39" s="21"/>
      <c r="O39" s="21"/>
      <c r="P39" s="26"/>
      <c r="Q39" s="27"/>
      <c r="R39" s="21"/>
      <c r="S39" s="21"/>
      <c r="T39" s="21"/>
      <c r="U39" s="21"/>
      <c r="V39" s="21"/>
      <c r="W39" s="26"/>
      <c r="X39" s="27"/>
      <c r="Y39" s="21"/>
      <c r="Z39" s="21"/>
      <c r="AA39" s="21"/>
      <c r="AB39" s="21"/>
      <c r="AC39" s="21"/>
      <c r="AD39" s="21"/>
      <c r="AE39" s="26"/>
      <c r="AF39" s="27"/>
      <c r="AG39" s="21"/>
      <c r="AH39" s="26"/>
      <c r="AI39" s="27"/>
      <c r="AJ39" s="23"/>
      <c r="AK39" s="28"/>
      <c r="AL39" s="29"/>
      <c r="AM39" s="30"/>
    </row>
    <row r="40" spans="1:43" ht="15.5">
      <c r="A40" s="18"/>
      <c r="B40" s="31" t="s">
        <v>136</v>
      </c>
      <c r="C40" s="32">
        <v>2000</v>
      </c>
      <c r="D40" s="33">
        <v>300</v>
      </c>
      <c r="E40" s="34">
        <f t="shared" ref="E40:E51" si="70">D40%/G40*100</f>
        <v>0.17647058823529413</v>
      </c>
      <c r="F40" s="35">
        <f t="shared" ref="F40:F51" si="71">C40*0.12</f>
        <v>240</v>
      </c>
      <c r="G40" s="36">
        <f t="shared" ref="G40:G51" si="72">C40-D40</f>
        <v>1700</v>
      </c>
      <c r="H40" s="34">
        <f t="shared" ref="H40:H51" si="73">I40%/C40*100</f>
        <v>0.3</v>
      </c>
      <c r="I40" s="33">
        <f t="shared" ref="I40:I51" si="74">SUM(K40+Q40+X40)</f>
        <v>600</v>
      </c>
      <c r="J40" s="32">
        <v>100</v>
      </c>
      <c r="K40" s="32">
        <v>200</v>
      </c>
      <c r="L40" s="33">
        <v>20</v>
      </c>
      <c r="M40" s="33">
        <v>5</v>
      </c>
      <c r="N40" s="33">
        <f t="shared" ref="N40:N51" si="75">K40-L40-M40</f>
        <v>175</v>
      </c>
      <c r="O40" s="33">
        <v>0</v>
      </c>
      <c r="P40" s="37"/>
      <c r="Q40" s="33">
        <v>200</v>
      </c>
      <c r="R40" s="33">
        <v>20</v>
      </c>
      <c r="S40" s="33">
        <v>5</v>
      </c>
      <c r="T40" s="33">
        <f t="shared" ref="T40:T51" si="76">Q40-R40-S40</f>
        <v>175</v>
      </c>
      <c r="U40" s="33">
        <v>0</v>
      </c>
      <c r="V40" s="33">
        <v>65.59</v>
      </c>
      <c r="W40" s="38">
        <v>0</v>
      </c>
      <c r="X40" s="33">
        <v>200</v>
      </c>
      <c r="Y40" s="33">
        <v>20</v>
      </c>
      <c r="Z40" s="33">
        <v>5</v>
      </c>
      <c r="AA40" s="33">
        <f t="shared" ref="AA40:AA51" si="77">X40-Y40-Z40</f>
        <v>175</v>
      </c>
      <c r="AB40" s="33">
        <v>0</v>
      </c>
      <c r="AC40" s="33"/>
      <c r="AD40" s="33">
        <f t="shared" ref="AD40:AD51" si="78">SUM(L40+R40+Y40)</f>
        <v>60</v>
      </c>
      <c r="AE40" s="39">
        <f t="shared" ref="AE40:AE45" si="79">AD40%/G40*100</f>
        <v>3.5294117647058823E-2</v>
      </c>
      <c r="AF40" s="33">
        <v>35</v>
      </c>
      <c r="AG40" s="33">
        <f t="shared" ref="AG40:AG51" si="80">AVERAGE(AF40*11.5)</f>
        <v>402.5</v>
      </c>
      <c r="AH40" s="39">
        <f t="shared" ref="AH40:AH51" si="81">AG40%/G40*100</f>
        <v>0.23676470588235293</v>
      </c>
      <c r="AI40" s="33">
        <v>400</v>
      </c>
      <c r="AJ40" s="40">
        <f t="shared" ref="AJ40:AJ51" si="82">AI40%/G40*100</f>
        <v>0.23529411764705879</v>
      </c>
      <c r="AK40" s="41">
        <f t="shared" ref="AK40:AK51" si="83">SUM(AE40+AH40+AJ40)</f>
        <v>0.50735294117647056</v>
      </c>
      <c r="AL40" s="42">
        <v>0.252</v>
      </c>
      <c r="AM40" s="43">
        <v>0.26</v>
      </c>
    </row>
    <row r="41" spans="1:43" ht="15.5">
      <c r="B41" s="31" t="s">
        <v>35</v>
      </c>
      <c r="C41" s="32">
        <v>2000</v>
      </c>
      <c r="D41" s="33">
        <v>300</v>
      </c>
      <c r="E41" s="34">
        <f t="shared" si="70"/>
        <v>0.17647058823529413</v>
      </c>
      <c r="F41" s="35">
        <f t="shared" si="71"/>
        <v>240</v>
      </c>
      <c r="G41" s="36">
        <f t="shared" si="72"/>
        <v>1700</v>
      </c>
      <c r="H41" s="34">
        <f t="shared" si="73"/>
        <v>0.3</v>
      </c>
      <c r="I41" s="33">
        <f t="shared" si="74"/>
        <v>600</v>
      </c>
      <c r="J41" s="32">
        <v>100</v>
      </c>
      <c r="K41" s="32">
        <v>200</v>
      </c>
      <c r="L41" s="33">
        <v>20</v>
      </c>
      <c r="M41" s="33">
        <v>5</v>
      </c>
      <c r="N41" s="33">
        <f t="shared" si="75"/>
        <v>175</v>
      </c>
      <c r="O41" s="33">
        <v>0</v>
      </c>
      <c r="P41" s="37"/>
      <c r="Q41" s="33">
        <v>200</v>
      </c>
      <c r="R41" s="33">
        <v>20</v>
      </c>
      <c r="S41" s="33">
        <v>5</v>
      </c>
      <c r="T41" s="33">
        <f t="shared" si="76"/>
        <v>175</v>
      </c>
      <c r="U41" s="33">
        <v>0</v>
      </c>
      <c r="V41" s="33">
        <v>65.59</v>
      </c>
      <c r="W41" s="38">
        <v>0</v>
      </c>
      <c r="X41" s="33">
        <v>200</v>
      </c>
      <c r="Y41" s="33">
        <v>20</v>
      </c>
      <c r="Z41" s="33">
        <v>5</v>
      </c>
      <c r="AA41" s="33">
        <f t="shared" si="77"/>
        <v>175</v>
      </c>
      <c r="AB41" s="33">
        <v>0</v>
      </c>
      <c r="AC41" s="33"/>
      <c r="AD41" s="33">
        <f t="shared" si="78"/>
        <v>60</v>
      </c>
      <c r="AE41" s="39">
        <f t="shared" si="79"/>
        <v>3.5294117647058823E-2</v>
      </c>
      <c r="AF41" s="33">
        <v>35</v>
      </c>
      <c r="AG41" s="33">
        <f t="shared" si="80"/>
        <v>402.5</v>
      </c>
      <c r="AH41" s="39">
        <f t="shared" si="81"/>
        <v>0.23676470588235293</v>
      </c>
      <c r="AI41" s="33">
        <v>400</v>
      </c>
      <c r="AJ41" s="40">
        <f t="shared" si="82"/>
        <v>0.23529411764705879</v>
      </c>
      <c r="AK41" s="41">
        <f t="shared" si="83"/>
        <v>0.50735294117647056</v>
      </c>
      <c r="AL41" s="42">
        <v>0.252</v>
      </c>
      <c r="AM41" s="43">
        <v>0.26</v>
      </c>
      <c r="AN41" s="44">
        <f>AN23+AI41</f>
        <v>1100</v>
      </c>
      <c r="AO41" s="44"/>
      <c r="AP41" s="44"/>
      <c r="AQ41" s="44"/>
    </row>
    <row r="42" spans="1:43" ht="15.5">
      <c r="B42" s="31" t="s">
        <v>36</v>
      </c>
      <c r="C42" s="32">
        <v>2000</v>
      </c>
      <c r="D42" s="33">
        <v>300</v>
      </c>
      <c r="E42" s="34">
        <f t="shared" si="70"/>
        <v>0.17647058823529413</v>
      </c>
      <c r="F42" s="35">
        <f t="shared" si="71"/>
        <v>240</v>
      </c>
      <c r="G42" s="36">
        <f t="shared" si="72"/>
        <v>1700</v>
      </c>
      <c r="H42" s="34">
        <f t="shared" si="73"/>
        <v>0.3</v>
      </c>
      <c r="I42" s="33">
        <f t="shared" si="74"/>
        <v>600</v>
      </c>
      <c r="J42" s="32">
        <v>100</v>
      </c>
      <c r="K42" s="32">
        <v>200</v>
      </c>
      <c r="L42" s="33">
        <v>20</v>
      </c>
      <c r="M42" s="33">
        <v>5</v>
      </c>
      <c r="N42" s="33">
        <f t="shared" si="75"/>
        <v>175</v>
      </c>
      <c r="O42" s="33">
        <v>0</v>
      </c>
      <c r="P42" s="37"/>
      <c r="Q42" s="33">
        <v>200</v>
      </c>
      <c r="R42" s="33">
        <v>20</v>
      </c>
      <c r="S42" s="33">
        <v>5</v>
      </c>
      <c r="T42" s="33">
        <f t="shared" si="76"/>
        <v>175</v>
      </c>
      <c r="U42" s="33">
        <v>0</v>
      </c>
      <c r="V42" s="33">
        <v>369.04</v>
      </c>
      <c r="W42" s="38">
        <v>0</v>
      </c>
      <c r="X42" s="33">
        <v>200</v>
      </c>
      <c r="Y42" s="33">
        <v>20</v>
      </c>
      <c r="Z42" s="33">
        <v>5</v>
      </c>
      <c r="AA42" s="33">
        <f t="shared" si="77"/>
        <v>175</v>
      </c>
      <c r="AB42" s="33">
        <v>0</v>
      </c>
      <c r="AC42" s="33"/>
      <c r="AD42" s="33">
        <f t="shared" si="78"/>
        <v>60</v>
      </c>
      <c r="AE42" s="39">
        <f t="shared" si="79"/>
        <v>3.5294117647058823E-2</v>
      </c>
      <c r="AF42" s="33">
        <v>35</v>
      </c>
      <c r="AG42" s="33">
        <f t="shared" si="80"/>
        <v>402.5</v>
      </c>
      <c r="AH42" s="39">
        <f t="shared" si="81"/>
        <v>0.23676470588235293</v>
      </c>
      <c r="AI42" s="33">
        <v>400</v>
      </c>
      <c r="AJ42" s="40">
        <f t="shared" si="82"/>
        <v>0.23529411764705879</v>
      </c>
      <c r="AK42" s="41">
        <f t="shared" si="83"/>
        <v>0.50735294117647056</v>
      </c>
      <c r="AL42" s="42">
        <v>0.26600000000000001</v>
      </c>
      <c r="AM42" s="43">
        <v>0.23</v>
      </c>
      <c r="AN42" s="44">
        <f>AN24+AI42</f>
        <v>1100</v>
      </c>
      <c r="AO42" s="44"/>
      <c r="AP42" s="44"/>
      <c r="AQ42" s="44"/>
    </row>
    <row r="43" spans="1:43" ht="15.5">
      <c r="B43" s="31" t="s">
        <v>37</v>
      </c>
      <c r="C43" s="32">
        <v>2000</v>
      </c>
      <c r="D43" s="33">
        <v>300</v>
      </c>
      <c r="E43" s="34">
        <f t="shared" si="70"/>
        <v>0.17647058823529413</v>
      </c>
      <c r="F43" s="35">
        <f t="shared" si="71"/>
        <v>240</v>
      </c>
      <c r="G43" s="36">
        <f t="shared" si="72"/>
        <v>1700</v>
      </c>
      <c r="H43" s="34">
        <f t="shared" si="73"/>
        <v>0.3</v>
      </c>
      <c r="I43" s="33">
        <f t="shared" si="74"/>
        <v>600</v>
      </c>
      <c r="J43" s="32">
        <v>100</v>
      </c>
      <c r="K43" s="32">
        <v>200</v>
      </c>
      <c r="L43" s="33">
        <v>20</v>
      </c>
      <c r="M43" s="33">
        <v>5</v>
      </c>
      <c r="N43" s="33">
        <f t="shared" si="75"/>
        <v>175</v>
      </c>
      <c r="O43" s="33">
        <v>0</v>
      </c>
      <c r="P43" s="37"/>
      <c r="Q43" s="33">
        <v>200</v>
      </c>
      <c r="R43" s="33">
        <v>20</v>
      </c>
      <c r="S43" s="33">
        <v>5</v>
      </c>
      <c r="T43" s="33">
        <f t="shared" si="76"/>
        <v>175</v>
      </c>
      <c r="U43" s="33">
        <v>0</v>
      </c>
      <c r="V43" s="45">
        <v>272.04000000000002</v>
      </c>
      <c r="W43" s="46">
        <v>0</v>
      </c>
      <c r="X43" s="33">
        <v>200</v>
      </c>
      <c r="Y43" s="33">
        <v>20</v>
      </c>
      <c r="Z43" s="33">
        <v>5</v>
      </c>
      <c r="AA43" s="33">
        <f t="shared" si="77"/>
        <v>175</v>
      </c>
      <c r="AB43" s="33">
        <v>0</v>
      </c>
      <c r="AC43" s="33"/>
      <c r="AD43" s="33">
        <f t="shared" si="78"/>
        <v>60</v>
      </c>
      <c r="AE43" s="39">
        <f t="shared" si="79"/>
        <v>3.5294117647058823E-2</v>
      </c>
      <c r="AF43" s="33">
        <v>35</v>
      </c>
      <c r="AG43" s="33">
        <f t="shared" si="80"/>
        <v>402.5</v>
      </c>
      <c r="AH43" s="39">
        <f t="shared" si="81"/>
        <v>0.23676470588235293</v>
      </c>
      <c r="AI43" s="33">
        <v>400</v>
      </c>
      <c r="AJ43" s="40">
        <f t="shared" si="82"/>
        <v>0.23529411764705879</v>
      </c>
      <c r="AK43" s="41">
        <f t="shared" si="83"/>
        <v>0.50735294117647056</v>
      </c>
      <c r="AL43" s="42">
        <v>0.19800000000000001</v>
      </c>
      <c r="AM43" s="43">
        <v>0.27</v>
      </c>
      <c r="AN43" s="44">
        <f>AN25+AI43</f>
        <v>1100</v>
      </c>
      <c r="AO43" s="44"/>
      <c r="AP43" s="44"/>
      <c r="AQ43" s="44"/>
    </row>
    <row r="44" spans="1:43" ht="15.5">
      <c r="B44" s="31" t="s">
        <v>38</v>
      </c>
      <c r="C44" s="32">
        <v>2000</v>
      </c>
      <c r="D44" s="33">
        <v>300</v>
      </c>
      <c r="E44" s="34">
        <f t="shared" si="70"/>
        <v>0.17647058823529413</v>
      </c>
      <c r="F44" s="35">
        <f t="shared" si="71"/>
        <v>240</v>
      </c>
      <c r="G44" s="36">
        <f t="shared" si="72"/>
        <v>1700</v>
      </c>
      <c r="H44" s="34">
        <f t="shared" si="73"/>
        <v>0.3</v>
      </c>
      <c r="I44" s="33">
        <f t="shared" si="74"/>
        <v>600</v>
      </c>
      <c r="J44" s="32">
        <v>100</v>
      </c>
      <c r="K44" s="32">
        <v>200</v>
      </c>
      <c r="L44" s="33">
        <v>20</v>
      </c>
      <c r="M44" s="33">
        <v>5</v>
      </c>
      <c r="N44" s="33">
        <f t="shared" si="75"/>
        <v>175</v>
      </c>
      <c r="O44" s="33">
        <v>0</v>
      </c>
      <c r="P44" s="37"/>
      <c r="Q44" s="33">
        <v>200</v>
      </c>
      <c r="R44" s="33">
        <v>20</v>
      </c>
      <c r="S44" s="33">
        <v>5</v>
      </c>
      <c r="T44" s="33">
        <f t="shared" si="76"/>
        <v>175</v>
      </c>
      <c r="U44" s="33">
        <v>0</v>
      </c>
      <c r="V44" s="33">
        <v>277.3</v>
      </c>
      <c r="W44" s="38">
        <v>0</v>
      </c>
      <c r="X44" s="33">
        <v>200</v>
      </c>
      <c r="Y44" s="33">
        <v>20</v>
      </c>
      <c r="Z44" s="33">
        <v>5</v>
      </c>
      <c r="AA44" s="33">
        <f t="shared" si="77"/>
        <v>175</v>
      </c>
      <c r="AB44" s="33">
        <v>0</v>
      </c>
      <c r="AC44" s="33"/>
      <c r="AD44" s="33">
        <f t="shared" si="78"/>
        <v>60</v>
      </c>
      <c r="AE44" s="39">
        <f t="shared" si="79"/>
        <v>3.5294117647058823E-2</v>
      </c>
      <c r="AF44" s="33">
        <v>35</v>
      </c>
      <c r="AG44" s="33">
        <f t="shared" si="80"/>
        <v>402.5</v>
      </c>
      <c r="AH44" s="39">
        <f t="shared" si="81"/>
        <v>0.23676470588235293</v>
      </c>
      <c r="AI44" s="33">
        <v>400</v>
      </c>
      <c r="AJ44" s="40">
        <f t="shared" si="82"/>
        <v>0.23529411764705879</v>
      </c>
      <c r="AK44" s="41">
        <f t="shared" si="83"/>
        <v>0.50735294117647056</v>
      </c>
      <c r="AL44" s="42">
        <v>0.24</v>
      </c>
      <c r="AM44" s="43">
        <v>0.22</v>
      </c>
      <c r="AN44" s="44">
        <f>AN26+AI44</f>
        <v>1100</v>
      </c>
      <c r="AO44" s="44"/>
      <c r="AP44" s="44"/>
      <c r="AQ44" s="44"/>
    </row>
    <row r="45" spans="1:43" ht="15.5">
      <c r="B45" s="31" t="s">
        <v>39</v>
      </c>
      <c r="C45" s="32">
        <v>2000</v>
      </c>
      <c r="D45" s="33">
        <v>300</v>
      </c>
      <c r="E45" s="34">
        <f t="shared" si="70"/>
        <v>0.17647058823529413</v>
      </c>
      <c r="F45" s="35">
        <f t="shared" si="71"/>
        <v>240</v>
      </c>
      <c r="G45" s="36">
        <f t="shared" si="72"/>
        <v>1700</v>
      </c>
      <c r="H45" s="34">
        <f t="shared" si="73"/>
        <v>0.3</v>
      </c>
      <c r="I45" s="33">
        <f t="shared" si="74"/>
        <v>600</v>
      </c>
      <c r="J45" s="32">
        <v>100</v>
      </c>
      <c r="K45" s="32">
        <v>200</v>
      </c>
      <c r="L45" s="33">
        <v>20</v>
      </c>
      <c r="M45" s="33">
        <v>5</v>
      </c>
      <c r="N45" s="33">
        <f t="shared" si="75"/>
        <v>175</v>
      </c>
      <c r="O45" s="33">
        <v>0</v>
      </c>
      <c r="P45" s="37"/>
      <c r="Q45" s="33">
        <v>200</v>
      </c>
      <c r="R45" s="33">
        <v>20</v>
      </c>
      <c r="S45" s="33">
        <v>5</v>
      </c>
      <c r="T45" s="33">
        <f t="shared" si="76"/>
        <v>175</v>
      </c>
      <c r="U45" s="33">
        <v>0</v>
      </c>
      <c r="V45" s="45">
        <v>209.34</v>
      </c>
      <c r="W45" s="46">
        <v>0</v>
      </c>
      <c r="X45" s="33">
        <v>200</v>
      </c>
      <c r="Y45" s="33">
        <v>20</v>
      </c>
      <c r="Z45" s="33">
        <v>5</v>
      </c>
      <c r="AA45" s="33">
        <f t="shared" si="77"/>
        <v>175</v>
      </c>
      <c r="AB45" s="33">
        <v>0</v>
      </c>
      <c r="AC45" s="33"/>
      <c r="AD45" s="33">
        <f t="shared" si="78"/>
        <v>60</v>
      </c>
      <c r="AE45" s="39">
        <f t="shared" si="79"/>
        <v>3.5294117647058823E-2</v>
      </c>
      <c r="AF45" s="33">
        <v>35</v>
      </c>
      <c r="AG45" s="33">
        <f t="shared" si="80"/>
        <v>402.5</v>
      </c>
      <c r="AH45" s="39">
        <f t="shared" si="81"/>
        <v>0.23676470588235293</v>
      </c>
      <c r="AI45" s="33">
        <v>400</v>
      </c>
      <c r="AJ45" s="40">
        <f t="shared" si="82"/>
        <v>0.23529411764705879</v>
      </c>
      <c r="AK45" s="41">
        <f t="shared" si="83"/>
        <v>0.50735294117647056</v>
      </c>
      <c r="AL45" s="42">
        <v>0.24299999999999999</v>
      </c>
      <c r="AM45" s="43">
        <v>0.22</v>
      </c>
      <c r="AN45" s="44">
        <f>AN27+AI45</f>
        <v>1100</v>
      </c>
      <c r="AO45" s="44"/>
      <c r="AP45" s="44"/>
      <c r="AQ45" s="44"/>
    </row>
    <row r="46" spans="1:43" ht="15.5">
      <c r="B46" s="31" t="s">
        <v>40</v>
      </c>
      <c r="C46" s="32">
        <v>2000</v>
      </c>
      <c r="D46" s="33">
        <v>300</v>
      </c>
      <c r="E46" s="34">
        <f t="shared" si="70"/>
        <v>0.17647058823529413</v>
      </c>
      <c r="F46" s="35">
        <f t="shared" si="71"/>
        <v>240</v>
      </c>
      <c r="G46" s="36">
        <f t="shared" si="72"/>
        <v>1700</v>
      </c>
      <c r="H46" s="34">
        <f t="shared" si="73"/>
        <v>0.3</v>
      </c>
      <c r="I46" s="33">
        <f t="shared" si="74"/>
        <v>600</v>
      </c>
      <c r="J46" s="32">
        <v>100</v>
      </c>
      <c r="K46" s="32">
        <v>200</v>
      </c>
      <c r="L46" s="33">
        <v>20</v>
      </c>
      <c r="M46" s="33">
        <v>5</v>
      </c>
      <c r="N46" s="33">
        <f t="shared" si="75"/>
        <v>175</v>
      </c>
      <c r="O46" s="33">
        <v>0</v>
      </c>
      <c r="P46" s="37"/>
      <c r="Q46" s="33">
        <v>200</v>
      </c>
      <c r="R46" s="33">
        <v>20</v>
      </c>
      <c r="S46" s="33">
        <v>5</v>
      </c>
      <c r="T46" s="33">
        <f t="shared" si="76"/>
        <v>175</v>
      </c>
      <c r="U46" s="33">
        <v>0</v>
      </c>
      <c r="V46" s="33"/>
      <c r="W46" s="38">
        <v>0</v>
      </c>
      <c r="X46" s="33">
        <v>200</v>
      </c>
      <c r="Y46" s="33">
        <v>20</v>
      </c>
      <c r="Z46" s="33">
        <v>5</v>
      </c>
      <c r="AA46" s="33">
        <f t="shared" si="77"/>
        <v>175</v>
      </c>
      <c r="AB46" s="33">
        <v>0</v>
      </c>
      <c r="AC46" s="33"/>
      <c r="AD46" s="33">
        <f t="shared" si="78"/>
        <v>60</v>
      </c>
      <c r="AE46" s="39"/>
      <c r="AF46" s="33">
        <v>35</v>
      </c>
      <c r="AG46" s="33">
        <f t="shared" si="80"/>
        <v>402.5</v>
      </c>
      <c r="AH46" s="39">
        <f t="shared" si="81"/>
        <v>0.23676470588235293</v>
      </c>
      <c r="AI46" s="33">
        <v>400</v>
      </c>
      <c r="AJ46" s="40">
        <f t="shared" si="82"/>
        <v>0.23529411764705879</v>
      </c>
      <c r="AK46" s="41">
        <f t="shared" si="83"/>
        <v>0.47205882352941175</v>
      </c>
      <c r="AL46" s="42">
        <v>0.16500000000000001</v>
      </c>
      <c r="AM46" s="43">
        <v>0.14000000000000001</v>
      </c>
      <c r="AN46" s="44">
        <f>AN28+AI46</f>
        <v>1100</v>
      </c>
      <c r="AO46" s="44"/>
      <c r="AP46" s="44"/>
      <c r="AQ46" s="44"/>
    </row>
    <row r="47" spans="1:43" ht="14.25" customHeight="1">
      <c r="B47" s="31" t="s">
        <v>41</v>
      </c>
      <c r="C47" s="32">
        <v>2000</v>
      </c>
      <c r="D47" s="33">
        <v>300</v>
      </c>
      <c r="E47" s="34">
        <f t="shared" si="70"/>
        <v>0.17647058823529413</v>
      </c>
      <c r="F47" s="35">
        <f t="shared" si="71"/>
        <v>240</v>
      </c>
      <c r="G47" s="36">
        <f t="shared" si="72"/>
        <v>1700</v>
      </c>
      <c r="H47" s="34">
        <f t="shared" si="73"/>
        <v>0.3</v>
      </c>
      <c r="I47" s="33">
        <f t="shared" si="74"/>
        <v>600</v>
      </c>
      <c r="J47" s="32">
        <v>100</v>
      </c>
      <c r="K47" s="32">
        <v>200</v>
      </c>
      <c r="L47" s="33">
        <v>20</v>
      </c>
      <c r="M47" s="33">
        <v>5</v>
      </c>
      <c r="N47" s="33">
        <f t="shared" si="75"/>
        <v>175</v>
      </c>
      <c r="O47" s="33">
        <v>0</v>
      </c>
      <c r="P47" s="37"/>
      <c r="Q47" s="33">
        <v>200</v>
      </c>
      <c r="R47" s="33">
        <v>20</v>
      </c>
      <c r="S47" s="33">
        <v>5</v>
      </c>
      <c r="T47" s="33">
        <f t="shared" si="76"/>
        <v>175</v>
      </c>
      <c r="U47" s="33">
        <v>0</v>
      </c>
      <c r="V47" s="33">
        <v>211.51</v>
      </c>
      <c r="W47" s="38">
        <v>0</v>
      </c>
      <c r="X47" s="33">
        <v>200</v>
      </c>
      <c r="Y47" s="33">
        <v>20</v>
      </c>
      <c r="Z47" s="33">
        <v>5</v>
      </c>
      <c r="AA47" s="33">
        <f t="shared" si="77"/>
        <v>175</v>
      </c>
      <c r="AB47" s="33">
        <v>0</v>
      </c>
      <c r="AC47" s="33"/>
      <c r="AD47" s="33">
        <f t="shared" si="78"/>
        <v>60</v>
      </c>
      <c r="AE47" s="39">
        <f t="shared" ref="AE47:AE51" si="84">AD47%/G47*100</f>
        <v>3.5294117647058823E-2</v>
      </c>
      <c r="AF47" s="33">
        <v>35</v>
      </c>
      <c r="AG47" s="33">
        <f t="shared" si="80"/>
        <v>402.5</v>
      </c>
      <c r="AH47" s="39">
        <f t="shared" si="81"/>
        <v>0.23676470588235293</v>
      </c>
      <c r="AI47" s="33">
        <v>400</v>
      </c>
      <c r="AJ47" s="40">
        <f t="shared" si="82"/>
        <v>0.23529411764705879</v>
      </c>
      <c r="AK47" s="41">
        <f t="shared" si="83"/>
        <v>0.50735294117647056</v>
      </c>
      <c r="AL47" s="42">
        <v>0.251</v>
      </c>
      <c r="AM47" s="43">
        <v>0.23</v>
      </c>
      <c r="AN47" s="44">
        <f>AN29+AI47</f>
        <v>1100</v>
      </c>
      <c r="AO47" s="44"/>
      <c r="AP47" s="44"/>
      <c r="AQ47" s="44"/>
    </row>
    <row r="48" spans="1:43" ht="13.5" customHeight="1">
      <c r="B48" s="31" t="s">
        <v>42</v>
      </c>
      <c r="C48" s="32">
        <v>2000</v>
      </c>
      <c r="D48" s="33">
        <v>300</v>
      </c>
      <c r="E48" s="34">
        <f t="shared" si="70"/>
        <v>0.17647058823529413</v>
      </c>
      <c r="F48" s="35">
        <f t="shared" si="71"/>
        <v>240</v>
      </c>
      <c r="G48" s="36">
        <f t="shared" si="72"/>
        <v>1700</v>
      </c>
      <c r="H48" s="34">
        <f t="shared" si="73"/>
        <v>0.3</v>
      </c>
      <c r="I48" s="33">
        <f t="shared" si="74"/>
        <v>600</v>
      </c>
      <c r="J48" s="32">
        <v>100</v>
      </c>
      <c r="K48" s="32">
        <v>200</v>
      </c>
      <c r="L48" s="33">
        <v>20</v>
      </c>
      <c r="M48" s="33">
        <v>5</v>
      </c>
      <c r="N48" s="33">
        <f t="shared" si="75"/>
        <v>175</v>
      </c>
      <c r="O48" s="33">
        <v>0</v>
      </c>
      <c r="P48" s="37"/>
      <c r="Q48" s="33">
        <v>200</v>
      </c>
      <c r="R48" s="33">
        <v>20</v>
      </c>
      <c r="S48" s="33">
        <v>5</v>
      </c>
      <c r="T48" s="33">
        <f t="shared" si="76"/>
        <v>175</v>
      </c>
      <c r="U48" s="33">
        <v>0</v>
      </c>
      <c r="V48" s="33">
        <v>125.91</v>
      </c>
      <c r="W48" s="38">
        <v>0</v>
      </c>
      <c r="X48" s="33">
        <v>200</v>
      </c>
      <c r="Y48" s="33">
        <v>20</v>
      </c>
      <c r="Z48" s="33">
        <v>5</v>
      </c>
      <c r="AA48" s="33">
        <f t="shared" si="77"/>
        <v>175</v>
      </c>
      <c r="AB48" s="33">
        <v>0</v>
      </c>
      <c r="AC48" s="33"/>
      <c r="AD48" s="33">
        <f t="shared" si="78"/>
        <v>60</v>
      </c>
      <c r="AE48" s="39">
        <f t="shared" si="84"/>
        <v>3.5294117647058823E-2</v>
      </c>
      <c r="AF48" s="33">
        <v>35</v>
      </c>
      <c r="AG48" s="33">
        <f t="shared" si="80"/>
        <v>402.5</v>
      </c>
      <c r="AH48" s="39">
        <f t="shared" si="81"/>
        <v>0.23676470588235293</v>
      </c>
      <c r="AI48" s="33">
        <v>400</v>
      </c>
      <c r="AJ48" s="40">
        <f t="shared" si="82"/>
        <v>0.23529411764705879</v>
      </c>
      <c r="AK48" s="41">
        <f t="shared" si="83"/>
        <v>0.50735294117647056</v>
      </c>
      <c r="AL48" s="42">
        <v>0.27</v>
      </c>
      <c r="AM48" s="43">
        <v>0.23</v>
      </c>
      <c r="AN48" s="44">
        <f>AN30+AI48</f>
        <v>1100</v>
      </c>
      <c r="AO48" s="44"/>
      <c r="AP48" s="44"/>
    </row>
    <row r="49" spans="1:43" ht="13.5" customHeight="1">
      <c r="B49" s="31" t="s">
        <v>137</v>
      </c>
      <c r="C49" s="32">
        <v>2000</v>
      </c>
      <c r="D49" s="33">
        <v>300</v>
      </c>
      <c r="E49" s="34">
        <f t="shared" si="70"/>
        <v>0.17647058823529413</v>
      </c>
      <c r="F49" s="35">
        <f t="shared" si="71"/>
        <v>240</v>
      </c>
      <c r="G49" s="36">
        <f t="shared" si="72"/>
        <v>1700</v>
      </c>
      <c r="H49" s="34">
        <f t="shared" si="73"/>
        <v>0.3</v>
      </c>
      <c r="I49" s="33">
        <f t="shared" si="74"/>
        <v>600</v>
      </c>
      <c r="J49" s="32">
        <v>100</v>
      </c>
      <c r="K49" s="32">
        <v>200</v>
      </c>
      <c r="L49" s="33">
        <v>20</v>
      </c>
      <c r="M49" s="33">
        <v>5</v>
      </c>
      <c r="N49" s="33">
        <f t="shared" si="75"/>
        <v>175</v>
      </c>
      <c r="O49" s="33">
        <v>0</v>
      </c>
      <c r="P49" s="37"/>
      <c r="Q49" s="33">
        <v>200</v>
      </c>
      <c r="R49" s="33">
        <v>20</v>
      </c>
      <c r="S49" s="33">
        <v>5</v>
      </c>
      <c r="T49" s="33">
        <f t="shared" si="76"/>
        <v>175</v>
      </c>
      <c r="U49" s="33">
        <v>0</v>
      </c>
      <c r="V49" s="33">
        <v>65.59</v>
      </c>
      <c r="W49" s="38">
        <v>0</v>
      </c>
      <c r="X49" s="33">
        <v>200</v>
      </c>
      <c r="Y49" s="33">
        <v>20</v>
      </c>
      <c r="Z49" s="33">
        <v>5</v>
      </c>
      <c r="AA49" s="33">
        <f t="shared" si="77"/>
        <v>175</v>
      </c>
      <c r="AB49" s="33">
        <v>0</v>
      </c>
      <c r="AC49" s="33"/>
      <c r="AD49" s="33">
        <f t="shared" si="78"/>
        <v>60</v>
      </c>
      <c r="AE49" s="39">
        <f t="shared" si="84"/>
        <v>3.5294117647058823E-2</v>
      </c>
      <c r="AF49" s="33">
        <v>35</v>
      </c>
      <c r="AG49" s="33">
        <f t="shared" si="80"/>
        <v>402.5</v>
      </c>
      <c r="AH49" s="39">
        <f t="shared" si="81"/>
        <v>0.23676470588235293</v>
      </c>
      <c r="AI49" s="33">
        <v>400</v>
      </c>
      <c r="AJ49" s="40">
        <f t="shared" si="82"/>
        <v>0.23529411764705879</v>
      </c>
      <c r="AK49" s="41">
        <f t="shared" si="83"/>
        <v>0.50735294117647056</v>
      </c>
      <c r="AL49" s="42">
        <v>0.252</v>
      </c>
      <c r="AM49" s="43">
        <v>0.26</v>
      </c>
      <c r="AN49" s="44"/>
      <c r="AO49" s="44"/>
      <c r="AP49" s="44"/>
    </row>
    <row r="50" spans="1:43" ht="13.5" customHeight="1">
      <c r="B50" s="31" t="s">
        <v>43</v>
      </c>
      <c r="C50" s="32">
        <v>2000</v>
      </c>
      <c r="D50" s="33">
        <v>300</v>
      </c>
      <c r="E50" s="34">
        <f t="shared" si="70"/>
        <v>0.17647058823529413</v>
      </c>
      <c r="F50" s="35">
        <f t="shared" si="71"/>
        <v>240</v>
      </c>
      <c r="G50" s="36">
        <f t="shared" si="72"/>
        <v>1700</v>
      </c>
      <c r="H50" s="34">
        <f t="shared" si="73"/>
        <v>0.3</v>
      </c>
      <c r="I50" s="33">
        <f t="shared" si="74"/>
        <v>600</v>
      </c>
      <c r="J50" s="32">
        <v>100</v>
      </c>
      <c r="K50" s="32">
        <v>200</v>
      </c>
      <c r="L50" s="33">
        <v>20</v>
      </c>
      <c r="M50" s="33">
        <v>5</v>
      </c>
      <c r="N50" s="33">
        <f t="shared" si="75"/>
        <v>175</v>
      </c>
      <c r="O50" s="33">
        <v>0</v>
      </c>
      <c r="P50" s="37"/>
      <c r="Q50" s="33">
        <v>200</v>
      </c>
      <c r="R50" s="33">
        <v>20</v>
      </c>
      <c r="S50" s="33">
        <v>5</v>
      </c>
      <c r="T50" s="33">
        <f t="shared" si="76"/>
        <v>175</v>
      </c>
      <c r="U50" s="33">
        <v>0</v>
      </c>
      <c r="V50" s="33">
        <v>44.09</v>
      </c>
      <c r="W50" s="38">
        <v>0</v>
      </c>
      <c r="X50" s="33">
        <v>200</v>
      </c>
      <c r="Y50" s="33">
        <v>20</v>
      </c>
      <c r="Z50" s="33">
        <v>5</v>
      </c>
      <c r="AA50" s="33">
        <f t="shared" si="77"/>
        <v>175</v>
      </c>
      <c r="AB50" s="33">
        <v>0</v>
      </c>
      <c r="AC50" s="33"/>
      <c r="AD50" s="33">
        <f t="shared" si="78"/>
        <v>60</v>
      </c>
      <c r="AE50" s="39">
        <f t="shared" si="84"/>
        <v>3.5294117647058823E-2</v>
      </c>
      <c r="AF50" s="33">
        <v>35</v>
      </c>
      <c r="AG50" s="33">
        <f t="shared" si="80"/>
        <v>402.5</v>
      </c>
      <c r="AH50" s="39">
        <f t="shared" si="81"/>
        <v>0.23676470588235293</v>
      </c>
      <c r="AI50" s="33">
        <v>400</v>
      </c>
      <c r="AJ50" s="40">
        <f t="shared" si="82"/>
        <v>0.23529411764705879</v>
      </c>
      <c r="AK50" s="41">
        <f t="shared" si="83"/>
        <v>0.50735294117647056</v>
      </c>
      <c r="AL50" s="42">
        <v>0.29199999999999998</v>
      </c>
      <c r="AM50" s="43">
        <v>0.28999999999999998</v>
      </c>
      <c r="AN50" s="44">
        <f>AN32+AI50</f>
        <v>1100</v>
      </c>
      <c r="AO50" s="44"/>
      <c r="AP50" s="44"/>
    </row>
    <row r="51" spans="1:43" ht="13.5" customHeight="1">
      <c r="B51" s="31" t="s">
        <v>44</v>
      </c>
      <c r="C51" s="32">
        <v>2000</v>
      </c>
      <c r="D51" s="33">
        <v>300</v>
      </c>
      <c r="E51" s="34">
        <f t="shared" si="70"/>
        <v>0.17647058823529413</v>
      </c>
      <c r="F51" s="35">
        <f t="shared" si="71"/>
        <v>240</v>
      </c>
      <c r="G51" s="36">
        <f t="shared" si="72"/>
        <v>1700</v>
      </c>
      <c r="H51" s="34">
        <f t="shared" si="73"/>
        <v>0.3</v>
      </c>
      <c r="I51" s="33">
        <f t="shared" si="74"/>
        <v>600</v>
      </c>
      <c r="J51" s="32">
        <v>100</v>
      </c>
      <c r="K51" s="32">
        <v>200</v>
      </c>
      <c r="L51" s="33">
        <v>20</v>
      </c>
      <c r="M51" s="33">
        <v>5</v>
      </c>
      <c r="N51" s="33">
        <f t="shared" si="75"/>
        <v>175</v>
      </c>
      <c r="O51" s="33">
        <v>0</v>
      </c>
      <c r="P51" s="37"/>
      <c r="Q51" s="33">
        <v>200</v>
      </c>
      <c r="R51" s="33">
        <v>20</v>
      </c>
      <c r="S51" s="33">
        <v>5</v>
      </c>
      <c r="T51" s="33">
        <f t="shared" si="76"/>
        <v>175</v>
      </c>
      <c r="U51" s="33">
        <v>0</v>
      </c>
      <c r="V51" s="33">
        <v>283.87</v>
      </c>
      <c r="W51" s="38">
        <v>0</v>
      </c>
      <c r="X51" s="33">
        <v>200</v>
      </c>
      <c r="Y51" s="33">
        <v>20</v>
      </c>
      <c r="Z51" s="33">
        <v>5</v>
      </c>
      <c r="AA51" s="33">
        <f t="shared" si="77"/>
        <v>175</v>
      </c>
      <c r="AB51" s="33">
        <v>0</v>
      </c>
      <c r="AC51" s="33"/>
      <c r="AD51" s="33">
        <f t="shared" si="78"/>
        <v>60</v>
      </c>
      <c r="AE51" s="39">
        <f t="shared" si="84"/>
        <v>3.5294117647058823E-2</v>
      </c>
      <c r="AF51" s="33">
        <v>35</v>
      </c>
      <c r="AG51" s="33">
        <f t="shared" si="80"/>
        <v>402.5</v>
      </c>
      <c r="AH51" s="39">
        <f t="shared" si="81"/>
        <v>0.23676470588235293</v>
      </c>
      <c r="AI51" s="33">
        <v>400</v>
      </c>
      <c r="AJ51" s="40">
        <f t="shared" si="82"/>
        <v>0.23529411764705879</v>
      </c>
      <c r="AK51" s="41">
        <f t="shared" si="83"/>
        <v>0.50735294117647056</v>
      </c>
      <c r="AL51" s="42">
        <v>0.223</v>
      </c>
      <c r="AM51" s="43">
        <v>0.26</v>
      </c>
      <c r="AN51" s="44">
        <f>AN33+AI51</f>
        <v>1100</v>
      </c>
      <c r="AO51" s="44"/>
    </row>
    <row r="52" spans="1:43" ht="19.5" customHeight="1">
      <c r="B52" s="31"/>
      <c r="C52" s="32"/>
      <c r="D52" s="33"/>
      <c r="E52" s="47"/>
      <c r="F52" s="48"/>
      <c r="G52" s="36"/>
      <c r="H52" s="47"/>
      <c r="I52" s="33"/>
      <c r="J52" s="32"/>
      <c r="K52" s="32"/>
      <c r="L52" s="33"/>
      <c r="M52" s="33"/>
      <c r="N52" s="33"/>
      <c r="O52" s="33"/>
      <c r="P52" s="37"/>
      <c r="Q52" s="49"/>
      <c r="R52" s="33"/>
      <c r="S52" s="33"/>
      <c r="T52" s="33"/>
      <c r="U52" s="33"/>
      <c r="V52" s="33"/>
      <c r="W52" s="38"/>
      <c r="X52" s="49"/>
      <c r="Y52" s="33"/>
      <c r="Z52" s="33"/>
      <c r="AA52" s="33"/>
      <c r="AB52" s="33"/>
      <c r="AC52" s="33"/>
      <c r="AD52" s="33"/>
      <c r="AE52" s="39"/>
      <c r="AF52" s="50"/>
      <c r="AG52" s="33"/>
      <c r="AH52" s="39"/>
      <c r="AI52" s="49"/>
      <c r="AJ52" s="40"/>
      <c r="AK52" s="41"/>
      <c r="AL52" s="42"/>
      <c r="AM52" s="43"/>
      <c r="AP52" s="44"/>
    </row>
    <row r="53" spans="1:43" ht="16" thickBot="1">
      <c r="B53" s="51" t="s">
        <v>45</v>
      </c>
      <c r="C53" s="52">
        <f t="shared" ref="C53:D53" si="85">SUM(C41:C52)</f>
        <v>22000</v>
      </c>
      <c r="D53" s="53">
        <f t="shared" si="85"/>
        <v>3300</v>
      </c>
      <c r="E53" s="54">
        <f>D53%/G53*100</f>
        <v>0.17647058823529413</v>
      </c>
      <c r="F53" s="55">
        <f t="shared" ref="F53:G53" si="86">SUM(F41:F52)</f>
        <v>2640</v>
      </c>
      <c r="G53" s="56">
        <f t="shared" si="86"/>
        <v>18700</v>
      </c>
      <c r="H53" s="54">
        <f>AVERAGE(H41:H52)</f>
        <v>0.29999999999999993</v>
      </c>
      <c r="I53" s="53">
        <f t="shared" ref="I53:V53" si="87">SUM(I41:I52)</f>
        <v>6600</v>
      </c>
      <c r="J53" s="52">
        <f t="shared" si="87"/>
        <v>1100</v>
      </c>
      <c r="K53" s="52">
        <f t="shared" si="87"/>
        <v>2200</v>
      </c>
      <c r="L53" s="53">
        <f t="shared" si="87"/>
        <v>220</v>
      </c>
      <c r="M53" s="53">
        <f t="shared" si="87"/>
        <v>55</v>
      </c>
      <c r="N53" s="53">
        <f t="shared" si="87"/>
        <v>1925</v>
      </c>
      <c r="O53" s="53">
        <f t="shared" si="87"/>
        <v>0</v>
      </c>
      <c r="P53" s="53">
        <f t="shared" si="87"/>
        <v>0</v>
      </c>
      <c r="Q53" s="57">
        <f t="shared" si="87"/>
        <v>2200</v>
      </c>
      <c r="R53" s="53">
        <f t="shared" si="87"/>
        <v>220</v>
      </c>
      <c r="S53" s="53">
        <f t="shared" si="87"/>
        <v>55</v>
      </c>
      <c r="T53" s="53">
        <f t="shared" si="87"/>
        <v>1925</v>
      </c>
      <c r="U53" s="53">
        <f t="shared" si="87"/>
        <v>0</v>
      </c>
      <c r="V53" s="53">
        <f t="shared" si="87"/>
        <v>1924.2799999999997</v>
      </c>
      <c r="W53" s="58">
        <f>AVERAGE(W41:W52)</f>
        <v>0</v>
      </c>
      <c r="X53" s="57">
        <f t="shared" ref="X53:AC53" si="88">SUM(X41:X52)</f>
        <v>2200</v>
      </c>
      <c r="Y53" s="53">
        <f t="shared" si="88"/>
        <v>220</v>
      </c>
      <c r="Z53" s="53">
        <f t="shared" si="88"/>
        <v>55</v>
      </c>
      <c r="AA53" s="53">
        <f t="shared" si="88"/>
        <v>1925</v>
      </c>
      <c r="AB53" s="53">
        <f t="shared" si="88"/>
        <v>0</v>
      </c>
      <c r="AC53" s="53">
        <f t="shared" si="88"/>
        <v>0</v>
      </c>
      <c r="AD53" s="53">
        <f>SUM(L53+R53+Y53)</f>
        <v>660</v>
      </c>
      <c r="AE53" s="59">
        <f>AVERAGE(AE41:AE52)</f>
        <v>3.5294117647058816E-2</v>
      </c>
      <c r="AF53" s="57">
        <f t="shared" ref="AF53:AG53" si="89">SUM(AF41:AF52)</f>
        <v>385</v>
      </c>
      <c r="AG53" s="53">
        <f t="shared" si="89"/>
        <v>4427.5</v>
      </c>
      <c r="AH53" s="59">
        <f>AG53%/G53*100</f>
        <v>0.23676470588235293</v>
      </c>
      <c r="AI53" s="57">
        <f>SUM(AI41:AI52)</f>
        <v>4400</v>
      </c>
      <c r="AJ53" s="60">
        <f>AI53%/G53*100</f>
        <v>0.23529411764705879</v>
      </c>
      <c r="AK53" s="61">
        <f>SUM(AE53+AH53+AJ53)</f>
        <v>0.50735294117647056</v>
      </c>
      <c r="AL53" s="62">
        <f t="shared" ref="AL53:AM53" si="90">AVERAGE(AL41:AL52)</f>
        <v>0.24109090909090902</v>
      </c>
      <c r="AM53" s="63">
        <f t="shared" si="90"/>
        <v>0.23727272727272722</v>
      </c>
      <c r="AN53" s="44">
        <f>SUM(AN41:AN52)</f>
        <v>11000</v>
      </c>
      <c r="AO53" s="44"/>
    </row>
    <row r="54" spans="1:43" ht="15.5">
      <c r="B54" s="64"/>
    </row>
    <row r="55" spans="1:43" ht="16" thickBot="1">
      <c r="B55" s="2" t="s">
        <v>50</v>
      </c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43" ht="47" thickBot="1">
      <c r="A56" s="5">
        <v>4</v>
      </c>
      <c r="B56" s="6" t="s">
        <v>1</v>
      </c>
      <c r="C56" s="7" t="s">
        <v>2</v>
      </c>
      <c r="D56" s="8" t="s">
        <v>3</v>
      </c>
      <c r="E56" s="8" t="s">
        <v>4</v>
      </c>
      <c r="F56" s="9" t="s">
        <v>5</v>
      </c>
      <c r="G56" s="10" t="s">
        <v>6</v>
      </c>
      <c r="H56" s="8" t="s">
        <v>7</v>
      </c>
      <c r="I56" s="8" t="s">
        <v>8</v>
      </c>
      <c r="J56" s="7" t="s">
        <v>9</v>
      </c>
      <c r="K56" s="7" t="s">
        <v>10</v>
      </c>
      <c r="L56" s="8" t="s">
        <v>11</v>
      </c>
      <c r="M56" s="8" t="s">
        <v>12</v>
      </c>
      <c r="N56" s="8" t="s">
        <v>13</v>
      </c>
      <c r="O56" s="8" t="s">
        <v>14</v>
      </c>
      <c r="P56" s="8" t="s">
        <v>15</v>
      </c>
      <c r="Q56" s="8" t="s">
        <v>16</v>
      </c>
      <c r="R56" s="8" t="s">
        <v>17</v>
      </c>
      <c r="S56" s="8" t="s">
        <v>12</v>
      </c>
      <c r="T56" s="8" t="s">
        <v>18</v>
      </c>
      <c r="U56" s="8" t="s">
        <v>14</v>
      </c>
      <c r="V56" s="11" t="s">
        <v>19</v>
      </c>
      <c r="W56" s="8" t="s">
        <v>20</v>
      </c>
      <c r="X56" s="8" t="s">
        <v>21</v>
      </c>
      <c r="Y56" s="8" t="s">
        <v>22</v>
      </c>
      <c r="Z56" s="8" t="s">
        <v>12</v>
      </c>
      <c r="AA56" s="8" t="s">
        <v>23</v>
      </c>
      <c r="AB56" s="8" t="s">
        <v>14</v>
      </c>
      <c r="AC56" s="8" t="s">
        <v>15</v>
      </c>
      <c r="AD56" s="8" t="s">
        <v>24</v>
      </c>
      <c r="AE56" s="8" t="s">
        <v>25</v>
      </c>
      <c r="AF56" s="8" t="s">
        <v>26</v>
      </c>
      <c r="AG56" s="8" t="s">
        <v>27</v>
      </c>
      <c r="AH56" s="8" t="s">
        <v>28</v>
      </c>
      <c r="AI56" s="8" t="s">
        <v>29</v>
      </c>
      <c r="AJ56" s="10" t="s">
        <v>30</v>
      </c>
      <c r="AK56" s="12" t="s">
        <v>31</v>
      </c>
      <c r="AL56" s="13" t="s">
        <v>32</v>
      </c>
      <c r="AM56" s="14" t="s">
        <v>33</v>
      </c>
      <c r="AN56" s="15" t="s">
        <v>51</v>
      </c>
      <c r="AO56" s="16"/>
      <c r="AP56" s="17"/>
    </row>
    <row r="57" spans="1:43" ht="15.5">
      <c r="A57" s="18"/>
      <c r="B57" s="19"/>
      <c r="C57" s="20"/>
      <c r="D57" s="21"/>
      <c r="E57" s="21"/>
      <c r="F57" s="22"/>
      <c r="G57" s="23"/>
      <c r="H57" s="24"/>
      <c r="I57" s="24"/>
      <c r="J57" s="25"/>
      <c r="K57" s="20"/>
      <c r="L57" s="21"/>
      <c r="M57" s="21"/>
      <c r="N57" s="21"/>
      <c r="O57" s="21"/>
      <c r="P57" s="26"/>
      <c r="Q57" s="27"/>
      <c r="R57" s="21"/>
      <c r="S57" s="21"/>
      <c r="T57" s="21"/>
      <c r="U57" s="21"/>
      <c r="V57" s="21"/>
      <c r="W57" s="26"/>
      <c r="X57" s="27"/>
      <c r="Y57" s="21"/>
      <c r="Z57" s="21"/>
      <c r="AA57" s="21"/>
      <c r="AB57" s="21"/>
      <c r="AC57" s="21"/>
      <c r="AD57" s="21"/>
      <c r="AE57" s="26"/>
      <c r="AF57" s="27"/>
      <c r="AG57" s="21"/>
      <c r="AH57" s="26"/>
      <c r="AI57" s="27"/>
      <c r="AJ57" s="23"/>
      <c r="AK57" s="28"/>
      <c r="AL57" s="29"/>
      <c r="AM57" s="30"/>
    </row>
    <row r="58" spans="1:43" ht="15.5">
      <c r="A58" s="18"/>
      <c r="B58" s="31" t="s">
        <v>136</v>
      </c>
      <c r="C58" s="32">
        <v>2000</v>
      </c>
      <c r="D58" s="33">
        <v>300</v>
      </c>
      <c r="E58" s="34">
        <f t="shared" ref="E58:E69" si="91">D58%/G58*100</f>
        <v>0.17647058823529413</v>
      </c>
      <c r="F58" s="35">
        <f t="shared" ref="F58:F69" si="92">C58*0.12</f>
        <v>240</v>
      </c>
      <c r="G58" s="36">
        <f t="shared" ref="G58:G69" si="93">C58-D58</f>
        <v>1700</v>
      </c>
      <c r="H58" s="34">
        <f t="shared" ref="H58:H69" si="94">I58%/C58*100</f>
        <v>0.3</v>
      </c>
      <c r="I58" s="33">
        <f t="shared" ref="I58:I69" si="95">SUM(K58+Q58+X58)</f>
        <v>600</v>
      </c>
      <c r="J58" s="32">
        <v>100</v>
      </c>
      <c r="K58" s="32">
        <v>200</v>
      </c>
      <c r="L58" s="33">
        <v>20</v>
      </c>
      <c r="M58" s="33">
        <v>5</v>
      </c>
      <c r="N58" s="33">
        <f t="shared" ref="N58:N69" si="96">K58-L58-M58</f>
        <v>175</v>
      </c>
      <c r="O58" s="33">
        <v>0</v>
      </c>
      <c r="P58" s="37"/>
      <c r="Q58" s="33">
        <v>200</v>
      </c>
      <c r="R58" s="33">
        <v>20</v>
      </c>
      <c r="S58" s="33">
        <v>5</v>
      </c>
      <c r="T58" s="33">
        <f t="shared" ref="T58:T69" si="97">Q58-R58-S58</f>
        <v>175</v>
      </c>
      <c r="U58" s="33">
        <v>0</v>
      </c>
      <c r="V58" s="33">
        <v>65.59</v>
      </c>
      <c r="W58" s="38">
        <v>0</v>
      </c>
      <c r="X58" s="33">
        <v>200</v>
      </c>
      <c r="Y58" s="33">
        <v>20</v>
      </c>
      <c r="Z58" s="33">
        <v>5</v>
      </c>
      <c r="AA58" s="33">
        <f t="shared" ref="AA58:AA69" si="98">X58-Y58-Z58</f>
        <v>175</v>
      </c>
      <c r="AB58" s="33">
        <v>0</v>
      </c>
      <c r="AC58" s="33"/>
      <c r="AD58" s="33">
        <f t="shared" ref="AD58:AD69" si="99">SUM(L58+R58+Y58)</f>
        <v>60</v>
      </c>
      <c r="AE58" s="39">
        <f t="shared" ref="AE58:AE63" si="100">AD58%/G58*100</f>
        <v>3.5294117647058823E-2</v>
      </c>
      <c r="AF58" s="33">
        <v>35</v>
      </c>
      <c r="AG58" s="33">
        <f t="shared" ref="AG58:AG69" si="101">AVERAGE(AF58*11.5)</f>
        <v>402.5</v>
      </c>
      <c r="AH58" s="39">
        <f t="shared" ref="AH58:AH69" si="102">AG58%/G58*100</f>
        <v>0.23676470588235293</v>
      </c>
      <c r="AI58" s="33">
        <v>400</v>
      </c>
      <c r="AJ58" s="40">
        <f t="shared" ref="AJ58:AJ69" si="103">AI58%/G58*100</f>
        <v>0.23529411764705879</v>
      </c>
      <c r="AK58" s="41">
        <f t="shared" ref="AK58:AK69" si="104">SUM(AE58+AH58+AJ58)</f>
        <v>0.50735294117647056</v>
      </c>
      <c r="AL58" s="42">
        <v>0.252</v>
      </c>
      <c r="AM58" s="43">
        <v>0.26</v>
      </c>
    </row>
    <row r="59" spans="1:43" ht="15.5">
      <c r="B59" s="31" t="s">
        <v>35</v>
      </c>
      <c r="C59" s="32">
        <v>2000</v>
      </c>
      <c r="D59" s="33">
        <v>300</v>
      </c>
      <c r="E59" s="34">
        <f t="shared" si="91"/>
        <v>0.17647058823529413</v>
      </c>
      <c r="F59" s="35">
        <f t="shared" si="92"/>
        <v>240</v>
      </c>
      <c r="G59" s="36">
        <f t="shared" si="93"/>
        <v>1700</v>
      </c>
      <c r="H59" s="34">
        <f t="shared" si="94"/>
        <v>0.3</v>
      </c>
      <c r="I59" s="33">
        <f t="shared" si="95"/>
        <v>600</v>
      </c>
      <c r="J59" s="32">
        <v>100</v>
      </c>
      <c r="K59" s="32">
        <v>200</v>
      </c>
      <c r="L59" s="33">
        <v>20</v>
      </c>
      <c r="M59" s="33">
        <v>5</v>
      </c>
      <c r="N59" s="33">
        <f t="shared" si="96"/>
        <v>175</v>
      </c>
      <c r="O59" s="33">
        <v>0</v>
      </c>
      <c r="P59" s="37"/>
      <c r="Q59" s="33">
        <v>200</v>
      </c>
      <c r="R59" s="33">
        <v>20</v>
      </c>
      <c r="S59" s="33">
        <v>5</v>
      </c>
      <c r="T59" s="33">
        <f t="shared" si="97"/>
        <v>175</v>
      </c>
      <c r="U59" s="33">
        <v>0</v>
      </c>
      <c r="V59" s="33">
        <v>65.59</v>
      </c>
      <c r="W59" s="38">
        <v>0</v>
      </c>
      <c r="X59" s="33">
        <v>200</v>
      </c>
      <c r="Y59" s="33">
        <v>20</v>
      </c>
      <c r="Z59" s="33">
        <v>5</v>
      </c>
      <c r="AA59" s="33">
        <f t="shared" si="98"/>
        <v>175</v>
      </c>
      <c r="AB59" s="33">
        <v>0</v>
      </c>
      <c r="AC59" s="33"/>
      <c r="AD59" s="33">
        <f t="shared" si="99"/>
        <v>60</v>
      </c>
      <c r="AE59" s="39">
        <f t="shared" si="100"/>
        <v>3.5294117647058823E-2</v>
      </c>
      <c r="AF59" s="33">
        <v>35</v>
      </c>
      <c r="AG59" s="33">
        <f t="shared" si="101"/>
        <v>402.5</v>
      </c>
      <c r="AH59" s="39">
        <f t="shared" si="102"/>
        <v>0.23676470588235293</v>
      </c>
      <c r="AI59" s="33">
        <v>400</v>
      </c>
      <c r="AJ59" s="40">
        <f t="shared" si="103"/>
        <v>0.23529411764705879</v>
      </c>
      <c r="AK59" s="41">
        <f t="shared" si="104"/>
        <v>0.50735294117647056</v>
      </c>
      <c r="AL59" s="42">
        <v>0.252</v>
      </c>
      <c r="AM59" s="43">
        <v>0.26</v>
      </c>
      <c r="AN59" s="44">
        <f>AN41+AI59</f>
        <v>1500</v>
      </c>
      <c r="AO59" s="44"/>
      <c r="AP59" s="44">
        <v>0</v>
      </c>
      <c r="AQ59" s="44"/>
    </row>
    <row r="60" spans="1:43" ht="15.5">
      <c r="B60" s="31" t="s">
        <v>36</v>
      </c>
      <c r="C60" s="32">
        <v>2000</v>
      </c>
      <c r="D60" s="33">
        <v>300</v>
      </c>
      <c r="E60" s="34">
        <f t="shared" si="91"/>
        <v>0.17647058823529413</v>
      </c>
      <c r="F60" s="35">
        <f t="shared" si="92"/>
        <v>240</v>
      </c>
      <c r="G60" s="36">
        <f t="shared" si="93"/>
        <v>1700</v>
      </c>
      <c r="H60" s="34">
        <f t="shared" si="94"/>
        <v>0.3</v>
      </c>
      <c r="I60" s="33">
        <f t="shared" si="95"/>
        <v>600</v>
      </c>
      <c r="J60" s="32">
        <v>100</v>
      </c>
      <c r="K60" s="32">
        <v>200</v>
      </c>
      <c r="L60" s="33">
        <v>20</v>
      </c>
      <c r="M60" s="33">
        <v>5</v>
      </c>
      <c r="N60" s="33">
        <f t="shared" si="96"/>
        <v>175</v>
      </c>
      <c r="O60" s="33">
        <v>0</v>
      </c>
      <c r="P60" s="37"/>
      <c r="Q60" s="33">
        <v>200</v>
      </c>
      <c r="R60" s="33">
        <v>20</v>
      </c>
      <c r="S60" s="33">
        <v>5</v>
      </c>
      <c r="T60" s="33">
        <f t="shared" si="97"/>
        <v>175</v>
      </c>
      <c r="U60" s="33">
        <v>0</v>
      </c>
      <c r="V60" s="33">
        <v>369.04</v>
      </c>
      <c r="W60" s="38">
        <v>0</v>
      </c>
      <c r="X60" s="33">
        <v>200</v>
      </c>
      <c r="Y60" s="33">
        <v>20</v>
      </c>
      <c r="Z60" s="33">
        <v>5</v>
      </c>
      <c r="AA60" s="33">
        <f t="shared" si="98"/>
        <v>175</v>
      </c>
      <c r="AB60" s="33">
        <v>0</v>
      </c>
      <c r="AC60" s="33"/>
      <c r="AD60" s="33">
        <f t="shared" si="99"/>
        <v>60</v>
      </c>
      <c r="AE60" s="39">
        <f t="shared" si="100"/>
        <v>3.5294117647058823E-2</v>
      </c>
      <c r="AF60" s="33">
        <v>35</v>
      </c>
      <c r="AG60" s="33">
        <f t="shared" si="101"/>
        <v>402.5</v>
      </c>
      <c r="AH60" s="39">
        <f t="shared" si="102"/>
        <v>0.23676470588235293</v>
      </c>
      <c r="AI60" s="33">
        <v>400</v>
      </c>
      <c r="AJ60" s="40">
        <f t="shared" si="103"/>
        <v>0.23529411764705879</v>
      </c>
      <c r="AK60" s="41">
        <f t="shared" si="104"/>
        <v>0.50735294117647056</v>
      </c>
      <c r="AL60" s="42">
        <v>0.26600000000000001</v>
      </c>
      <c r="AM60" s="43">
        <v>0.23</v>
      </c>
      <c r="AN60" s="44">
        <f>AN42+AI60</f>
        <v>1500</v>
      </c>
      <c r="AO60" s="44"/>
      <c r="AP60" s="44">
        <v>0</v>
      </c>
      <c r="AQ60" s="44"/>
    </row>
    <row r="61" spans="1:43" ht="15.5">
      <c r="B61" s="31" t="s">
        <v>37</v>
      </c>
      <c r="C61" s="32">
        <v>2000</v>
      </c>
      <c r="D61" s="33">
        <v>300</v>
      </c>
      <c r="E61" s="34">
        <f t="shared" si="91"/>
        <v>0.17647058823529413</v>
      </c>
      <c r="F61" s="35">
        <f t="shared" si="92"/>
        <v>240</v>
      </c>
      <c r="G61" s="36">
        <f t="shared" si="93"/>
        <v>1700</v>
      </c>
      <c r="H61" s="34">
        <f t="shared" si="94"/>
        <v>0.3</v>
      </c>
      <c r="I61" s="33">
        <f t="shared" si="95"/>
        <v>600</v>
      </c>
      <c r="J61" s="32">
        <v>100</v>
      </c>
      <c r="K61" s="32">
        <v>200</v>
      </c>
      <c r="L61" s="33">
        <v>20</v>
      </c>
      <c r="M61" s="33">
        <v>5</v>
      </c>
      <c r="N61" s="33">
        <f t="shared" si="96"/>
        <v>175</v>
      </c>
      <c r="O61" s="33">
        <v>0</v>
      </c>
      <c r="P61" s="37"/>
      <c r="Q61" s="33">
        <v>200</v>
      </c>
      <c r="R61" s="33">
        <v>20</v>
      </c>
      <c r="S61" s="33">
        <v>5</v>
      </c>
      <c r="T61" s="33">
        <f t="shared" si="97"/>
        <v>175</v>
      </c>
      <c r="U61" s="33">
        <v>0</v>
      </c>
      <c r="V61" s="45">
        <v>272.04000000000002</v>
      </c>
      <c r="W61" s="46">
        <v>0</v>
      </c>
      <c r="X61" s="33">
        <v>200</v>
      </c>
      <c r="Y61" s="33">
        <v>20</v>
      </c>
      <c r="Z61" s="33">
        <v>5</v>
      </c>
      <c r="AA61" s="33">
        <f t="shared" si="98"/>
        <v>175</v>
      </c>
      <c r="AB61" s="33">
        <v>0</v>
      </c>
      <c r="AC61" s="33"/>
      <c r="AD61" s="33">
        <f t="shared" si="99"/>
        <v>60</v>
      </c>
      <c r="AE61" s="39">
        <f t="shared" si="100"/>
        <v>3.5294117647058823E-2</v>
      </c>
      <c r="AF61" s="33">
        <v>35</v>
      </c>
      <c r="AG61" s="33">
        <f t="shared" si="101"/>
        <v>402.5</v>
      </c>
      <c r="AH61" s="39">
        <f t="shared" si="102"/>
        <v>0.23676470588235293</v>
      </c>
      <c r="AI61" s="33">
        <v>400</v>
      </c>
      <c r="AJ61" s="40">
        <f t="shared" si="103"/>
        <v>0.23529411764705879</v>
      </c>
      <c r="AK61" s="41">
        <f t="shared" si="104"/>
        <v>0.50735294117647056</v>
      </c>
      <c r="AL61" s="42">
        <v>0.19800000000000001</v>
      </c>
      <c r="AM61" s="43">
        <v>0.27</v>
      </c>
      <c r="AN61" s="44">
        <f>AN43+AI61</f>
        <v>1500</v>
      </c>
      <c r="AO61" s="44"/>
      <c r="AP61" s="44">
        <v>0</v>
      </c>
      <c r="AQ61" s="44"/>
    </row>
    <row r="62" spans="1:43" ht="15.5">
      <c r="B62" s="31" t="s">
        <v>38</v>
      </c>
      <c r="C62" s="32">
        <v>2000</v>
      </c>
      <c r="D62" s="33">
        <v>300</v>
      </c>
      <c r="E62" s="34">
        <f t="shared" si="91"/>
        <v>0.17647058823529413</v>
      </c>
      <c r="F62" s="35">
        <f t="shared" si="92"/>
        <v>240</v>
      </c>
      <c r="G62" s="36">
        <f t="shared" si="93"/>
        <v>1700</v>
      </c>
      <c r="H62" s="34">
        <f t="shared" si="94"/>
        <v>0.3</v>
      </c>
      <c r="I62" s="33">
        <f t="shared" si="95"/>
        <v>600</v>
      </c>
      <c r="J62" s="32">
        <v>100</v>
      </c>
      <c r="K62" s="32">
        <v>200</v>
      </c>
      <c r="L62" s="33">
        <v>20</v>
      </c>
      <c r="M62" s="33">
        <v>5</v>
      </c>
      <c r="N62" s="33">
        <f t="shared" si="96"/>
        <v>175</v>
      </c>
      <c r="O62" s="33">
        <v>0</v>
      </c>
      <c r="P62" s="37"/>
      <c r="Q62" s="33">
        <v>200</v>
      </c>
      <c r="R62" s="33">
        <v>20</v>
      </c>
      <c r="S62" s="33">
        <v>5</v>
      </c>
      <c r="T62" s="33">
        <f t="shared" si="97"/>
        <v>175</v>
      </c>
      <c r="U62" s="33">
        <v>0</v>
      </c>
      <c r="V62" s="33">
        <v>277.3</v>
      </c>
      <c r="W62" s="38">
        <v>0</v>
      </c>
      <c r="X62" s="33">
        <v>200</v>
      </c>
      <c r="Y62" s="33">
        <v>20</v>
      </c>
      <c r="Z62" s="33">
        <v>5</v>
      </c>
      <c r="AA62" s="33">
        <f t="shared" si="98"/>
        <v>175</v>
      </c>
      <c r="AB62" s="33">
        <v>0</v>
      </c>
      <c r="AC62" s="33"/>
      <c r="AD62" s="33">
        <f t="shared" si="99"/>
        <v>60</v>
      </c>
      <c r="AE62" s="39">
        <f t="shared" si="100"/>
        <v>3.5294117647058823E-2</v>
      </c>
      <c r="AF62" s="33">
        <v>35</v>
      </c>
      <c r="AG62" s="33">
        <f t="shared" si="101"/>
        <v>402.5</v>
      </c>
      <c r="AH62" s="39">
        <f t="shared" si="102"/>
        <v>0.23676470588235293</v>
      </c>
      <c r="AI62" s="33">
        <v>400</v>
      </c>
      <c r="AJ62" s="40">
        <f t="shared" si="103"/>
        <v>0.23529411764705879</v>
      </c>
      <c r="AK62" s="41">
        <f t="shared" si="104"/>
        <v>0.50735294117647056</v>
      </c>
      <c r="AL62" s="42">
        <v>0.24</v>
      </c>
      <c r="AM62" s="43">
        <v>0.22</v>
      </c>
      <c r="AN62" s="44">
        <f>AN44+AI62</f>
        <v>1500</v>
      </c>
      <c r="AO62" s="44"/>
      <c r="AP62" s="44">
        <v>0</v>
      </c>
      <c r="AQ62" s="44"/>
    </row>
    <row r="63" spans="1:43" ht="15.5">
      <c r="B63" s="31" t="s">
        <v>39</v>
      </c>
      <c r="C63" s="32">
        <v>2000</v>
      </c>
      <c r="D63" s="33">
        <v>300</v>
      </c>
      <c r="E63" s="34">
        <f t="shared" si="91"/>
        <v>0.17647058823529413</v>
      </c>
      <c r="F63" s="35">
        <f t="shared" si="92"/>
        <v>240</v>
      </c>
      <c r="G63" s="36">
        <f t="shared" si="93"/>
        <v>1700</v>
      </c>
      <c r="H63" s="34">
        <f t="shared" si="94"/>
        <v>0.3</v>
      </c>
      <c r="I63" s="33">
        <f t="shared" si="95"/>
        <v>600</v>
      </c>
      <c r="J63" s="32">
        <v>100</v>
      </c>
      <c r="K63" s="32">
        <v>200</v>
      </c>
      <c r="L63" s="33">
        <v>20</v>
      </c>
      <c r="M63" s="33">
        <v>5</v>
      </c>
      <c r="N63" s="33">
        <f t="shared" si="96"/>
        <v>175</v>
      </c>
      <c r="O63" s="33">
        <v>0</v>
      </c>
      <c r="P63" s="37"/>
      <c r="Q63" s="33">
        <v>200</v>
      </c>
      <c r="R63" s="33">
        <v>20</v>
      </c>
      <c r="S63" s="33">
        <v>5</v>
      </c>
      <c r="T63" s="33">
        <f t="shared" si="97"/>
        <v>175</v>
      </c>
      <c r="U63" s="33">
        <v>0</v>
      </c>
      <c r="V63" s="45">
        <v>209.34</v>
      </c>
      <c r="W63" s="46">
        <v>0</v>
      </c>
      <c r="X63" s="33">
        <v>200</v>
      </c>
      <c r="Y63" s="33">
        <v>20</v>
      </c>
      <c r="Z63" s="33">
        <v>5</v>
      </c>
      <c r="AA63" s="33">
        <f t="shared" si="98"/>
        <v>175</v>
      </c>
      <c r="AB63" s="33">
        <v>0</v>
      </c>
      <c r="AC63" s="33"/>
      <c r="AD63" s="33">
        <f t="shared" si="99"/>
        <v>60</v>
      </c>
      <c r="AE63" s="39">
        <f t="shared" si="100"/>
        <v>3.5294117647058823E-2</v>
      </c>
      <c r="AF63" s="33">
        <v>35</v>
      </c>
      <c r="AG63" s="33">
        <f t="shared" si="101"/>
        <v>402.5</v>
      </c>
      <c r="AH63" s="39">
        <f t="shared" si="102"/>
        <v>0.23676470588235293</v>
      </c>
      <c r="AI63" s="33">
        <v>400</v>
      </c>
      <c r="AJ63" s="40">
        <f t="shared" si="103"/>
        <v>0.23529411764705879</v>
      </c>
      <c r="AK63" s="41">
        <f t="shared" si="104"/>
        <v>0.50735294117647056</v>
      </c>
      <c r="AL63" s="42">
        <v>0.24299999999999999</v>
      </c>
      <c r="AM63" s="43">
        <v>0.22</v>
      </c>
      <c r="AN63" s="44">
        <f>AN45+AI63</f>
        <v>1500</v>
      </c>
      <c r="AO63" s="44"/>
      <c r="AP63" s="44">
        <v>0</v>
      </c>
      <c r="AQ63" s="44"/>
    </row>
    <row r="64" spans="1:43" ht="15.5">
      <c r="B64" s="31" t="s">
        <v>40</v>
      </c>
      <c r="C64" s="32">
        <v>2000</v>
      </c>
      <c r="D64" s="33">
        <v>300</v>
      </c>
      <c r="E64" s="34">
        <f t="shared" si="91"/>
        <v>0.17647058823529413</v>
      </c>
      <c r="F64" s="35">
        <f t="shared" si="92"/>
        <v>240</v>
      </c>
      <c r="G64" s="36">
        <f t="shared" si="93"/>
        <v>1700</v>
      </c>
      <c r="H64" s="34">
        <f t="shared" si="94"/>
        <v>0.3</v>
      </c>
      <c r="I64" s="33">
        <f t="shared" si="95"/>
        <v>600</v>
      </c>
      <c r="J64" s="32">
        <v>100</v>
      </c>
      <c r="K64" s="32">
        <v>200</v>
      </c>
      <c r="L64" s="33">
        <v>20</v>
      </c>
      <c r="M64" s="33">
        <v>5</v>
      </c>
      <c r="N64" s="33">
        <f t="shared" si="96"/>
        <v>175</v>
      </c>
      <c r="O64" s="33">
        <v>0</v>
      </c>
      <c r="P64" s="37"/>
      <c r="Q64" s="33">
        <v>200</v>
      </c>
      <c r="R64" s="33">
        <v>20</v>
      </c>
      <c r="S64" s="33">
        <v>5</v>
      </c>
      <c r="T64" s="33">
        <f t="shared" si="97"/>
        <v>175</v>
      </c>
      <c r="U64" s="33">
        <v>0</v>
      </c>
      <c r="V64" s="33"/>
      <c r="W64" s="38">
        <v>0</v>
      </c>
      <c r="X64" s="33">
        <v>200</v>
      </c>
      <c r="Y64" s="33">
        <v>20</v>
      </c>
      <c r="Z64" s="33">
        <v>5</v>
      </c>
      <c r="AA64" s="33">
        <f t="shared" si="98"/>
        <v>175</v>
      </c>
      <c r="AB64" s="33">
        <v>0</v>
      </c>
      <c r="AC64" s="33"/>
      <c r="AD64" s="33">
        <f t="shared" si="99"/>
        <v>60</v>
      </c>
      <c r="AE64" s="39"/>
      <c r="AF64" s="33">
        <v>35</v>
      </c>
      <c r="AG64" s="33">
        <f t="shared" si="101"/>
        <v>402.5</v>
      </c>
      <c r="AH64" s="39">
        <f t="shared" si="102"/>
        <v>0.23676470588235293</v>
      </c>
      <c r="AI64" s="33">
        <v>400</v>
      </c>
      <c r="AJ64" s="40">
        <f t="shared" si="103"/>
        <v>0.23529411764705879</v>
      </c>
      <c r="AK64" s="41">
        <f t="shared" si="104"/>
        <v>0.47205882352941175</v>
      </c>
      <c r="AL64" s="42">
        <v>0.16500000000000001</v>
      </c>
      <c r="AM64" s="43">
        <v>0.14000000000000001</v>
      </c>
      <c r="AN64" s="44">
        <f>AN46+AI64</f>
        <v>1500</v>
      </c>
      <c r="AO64" s="44"/>
      <c r="AP64" s="44"/>
      <c r="AQ64" s="44"/>
    </row>
    <row r="65" spans="1:43" ht="14.25" customHeight="1">
      <c r="B65" s="31" t="s">
        <v>41</v>
      </c>
      <c r="C65" s="32">
        <v>2000</v>
      </c>
      <c r="D65" s="33">
        <v>300</v>
      </c>
      <c r="E65" s="34">
        <f t="shared" si="91"/>
        <v>0.17647058823529413</v>
      </c>
      <c r="F65" s="35">
        <f t="shared" si="92"/>
        <v>240</v>
      </c>
      <c r="G65" s="36">
        <f t="shared" si="93"/>
        <v>1700</v>
      </c>
      <c r="H65" s="34">
        <f t="shared" si="94"/>
        <v>0.3</v>
      </c>
      <c r="I65" s="33">
        <f t="shared" si="95"/>
        <v>600</v>
      </c>
      <c r="J65" s="32">
        <v>100</v>
      </c>
      <c r="K65" s="32">
        <v>200</v>
      </c>
      <c r="L65" s="33">
        <v>20</v>
      </c>
      <c r="M65" s="33">
        <v>5</v>
      </c>
      <c r="N65" s="33">
        <f t="shared" si="96"/>
        <v>175</v>
      </c>
      <c r="O65" s="33">
        <v>0</v>
      </c>
      <c r="P65" s="37"/>
      <c r="Q65" s="33">
        <v>200</v>
      </c>
      <c r="R65" s="33">
        <v>20</v>
      </c>
      <c r="S65" s="33">
        <v>5</v>
      </c>
      <c r="T65" s="33">
        <f t="shared" si="97"/>
        <v>175</v>
      </c>
      <c r="U65" s="33">
        <v>0</v>
      </c>
      <c r="V65" s="33">
        <v>211.51</v>
      </c>
      <c r="W65" s="38">
        <v>0</v>
      </c>
      <c r="X65" s="33">
        <v>200</v>
      </c>
      <c r="Y65" s="33">
        <v>20</v>
      </c>
      <c r="Z65" s="33">
        <v>5</v>
      </c>
      <c r="AA65" s="33">
        <f t="shared" si="98"/>
        <v>175</v>
      </c>
      <c r="AB65" s="33">
        <v>0</v>
      </c>
      <c r="AC65" s="33"/>
      <c r="AD65" s="33">
        <f t="shared" si="99"/>
        <v>60</v>
      </c>
      <c r="AE65" s="39">
        <f t="shared" ref="AE65:AE69" si="105">AD65%/G65*100</f>
        <v>3.5294117647058823E-2</v>
      </c>
      <c r="AF65" s="33">
        <v>35</v>
      </c>
      <c r="AG65" s="33">
        <f t="shared" si="101"/>
        <v>402.5</v>
      </c>
      <c r="AH65" s="39">
        <f t="shared" si="102"/>
        <v>0.23676470588235293</v>
      </c>
      <c r="AI65" s="33">
        <v>400</v>
      </c>
      <c r="AJ65" s="40">
        <f t="shared" si="103"/>
        <v>0.23529411764705879</v>
      </c>
      <c r="AK65" s="41">
        <f t="shared" si="104"/>
        <v>0.50735294117647056</v>
      </c>
      <c r="AL65" s="42">
        <v>0.251</v>
      </c>
      <c r="AM65" s="43">
        <v>0.23</v>
      </c>
      <c r="AN65" s="44">
        <f>AN47+AI65</f>
        <v>1500</v>
      </c>
      <c r="AO65" s="44"/>
      <c r="AP65" s="44">
        <f>SUM(AP59:AP64)</f>
        <v>0</v>
      </c>
      <c r="AQ65" s="44"/>
    </row>
    <row r="66" spans="1:43" ht="13.5" customHeight="1">
      <c r="B66" s="31" t="s">
        <v>42</v>
      </c>
      <c r="C66" s="32">
        <v>2000</v>
      </c>
      <c r="D66" s="33">
        <v>300</v>
      </c>
      <c r="E66" s="34">
        <f t="shared" si="91"/>
        <v>0.17647058823529413</v>
      </c>
      <c r="F66" s="35">
        <f t="shared" si="92"/>
        <v>240</v>
      </c>
      <c r="G66" s="36">
        <f t="shared" si="93"/>
        <v>1700</v>
      </c>
      <c r="H66" s="34">
        <f t="shared" si="94"/>
        <v>0.3</v>
      </c>
      <c r="I66" s="33">
        <f t="shared" si="95"/>
        <v>600</v>
      </c>
      <c r="J66" s="32">
        <v>100</v>
      </c>
      <c r="K66" s="32">
        <v>200</v>
      </c>
      <c r="L66" s="33">
        <v>20</v>
      </c>
      <c r="M66" s="33">
        <v>5</v>
      </c>
      <c r="N66" s="33">
        <f t="shared" si="96"/>
        <v>175</v>
      </c>
      <c r="O66" s="33">
        <v>0</v>
      </c>
      <c r="P66" s="37"/>
      <c r="Q66" s="33">
        <v>200</v>
      </c>
      <c r="R66" s="33">
        <v>20</v>
      </c>
      <c r="S66" s="33">
        <v>5</v>
      </c>
      <c r="T66" s="33">
        <f t="shared" si="97"/>
        <v>175</v>
      </c>
      <c r="U66" s="33">
        <v>0</v>
      </c>
      <c r="V66" s="33">
        <v>125.91</v>
      </c>
      <c r="W66" s="38">
        <v>0</v>
      </c>
      <c r="X66" s="33">
        <v>200</v>
      </c>
      <c r="Y66" s="33">
        <v>20</v>
      </c>
      <c r="Z66" s="33">
        <v>5</v>
      </c>
      <c r="AA66" s="33">
        <f t="shared" si="98"/>
        <v>175</v>
      </c>
      <c r="AB66" s="33">
        <v>0</v>
      </c>
      <c r="AC66" s="33"/>
      <c r="AD66" s="33">
        <f t="shared" si="99"/>
        <v>60</v>
      </c>
      <c r="AE66" s="39">
        <f t="shared" si="105"/>
        <v>3.5294117647058823E-2</v>
      </c>
      <c r="AF66" s="33">
        <v>35</v>
      </c>
      <c r="AG66" s="33">
        <f t="shared" si="101"/>
        <v>402.5</v>
      </c>
      <c r="AH66" s="39">
        <f t="shared" si="102"/>
        <v>0.23676470588235293</v>
      </c>
      <c r="AI66" s="33">
        <v>400</v>
      </c>
      <c r="AJ66" s="40">
        <f t="shared" si="103"/>
        <v>0.23529411764705879</v>
      </c>
      <c r="AK66" s="41">
        <f t="shared" si="104"/>
        <v>0.50735294117647056</v>
      </c>
      <c r="AL66" s="42">
        <v>0.27</v>
      </c>
      <c r="AM66" s="43">
        <v>0.23</v>
      </c>
      <c r="AN66" s="44">
        <f>AN48+AI66</f>
        <v>1500</v>
      </c>
      <c r="AO66" s="44"/>
      <c r="AP66" s="44"/>
    </row>
    <row r="67" spans="1:43" ht="13.5" customHeight="1">
      <c r="B67" s="31" t="s">
        <v>137</v>
      </c>
      <c r="C67" s="32">
        <v>2000</v>
      </c>
      <c r="D67" s="33">
        <v>300</v>
      </c>
      <c r="E67" s="34">
        <f t="shared" si="91"/>
        <v>0.17647058823529413</v>
      </c>
      <c r="F67" s="35">
        <f t="shared" si="92"/>
        <v>240</v>
      </c>
      <c r="G67" s="36">
        <f t="shared" si="93"/>
        <v>1700</v>
      </c>
      <c r="H67" s="34">
        <f t="shared" si="94"/>
        <v>0.3</v>
      </c>
      <c r="I67" s="33">
        <f t="shared" si="95"/>
        <v>600</v>
      </c>
      <c r="J67" s="32">
        <v>100</v>
      </c>
      <c r="K67" s="32">
        <v>200</v>
      </c>
      <c r="L67" s="33">
        <v>20</v>
      </c>
      <c r="M67" s="33">
        <v>5</v>
      </c>
      <c r="N67" s="33">
        <f t="shared" si="96"/>
        <v>175</v>
      </c>
      <c r="O67" s="33">
        <v>0</v>
      </c>
      <c r="P67" s="37"/>
      <c r="Q67" s="33">
        <v>200</v>
      </c>
      <c r="R67" s="33">
        <v>20</v>
      </c>
      <c r="S67" s="33">
        <v>5</v>
      </c>
      <c r="T67" s="33">
        <f t="shared" si="97"/>
        <v>175</v>
      </c>
      <c r="U67" s="33">
        <v>0</v>
      </c>
      <c r="V67" s="33">
        <v>65.59</v>
      </c>
      <c r="W67" s="38">
        <v>0</v>
      </c>
      <c r="X67" s="33">
        <v>200</v>
      </c>
      <c r="Y67" s="33">
        <v>20</v>
      </c>
      <c r="Z67" s="33">
        <v>5</v>
      </c>
      <c r="AA67" s="33">
        <f t="shared" si="98"/>
        <v>175</v>
      </c>
      <c r="AB67" s="33">
        <v>0</v>
      </c>
      <c r="AC67" s="33"/>
      <c r="AD67" s="33">
        <f t="shared" si="99"/>
        <v>60</v>
      </c>
      <c r="AE67" s="39">
        <f t="shared" si="105"/>
        <v>3.5294117647058823E-2</v>
      </c>
      <c r="AF67" s="33">
        <v>35</v>
      </c>
      <c r="AG67" s="33">
        <f t="shared" si="101"/>
        <v>402.5</v>
      </c>
      <c r="AH67" s="39">
        <f t="shared" si="102"/>
        <v>0.23676470588235293</v>
      </c>
      <c r="AI67" s="33">
        <v>400</v>
      </c>
      <c r="AJ67" s="40">
        <f t="shared" si="103"/>
        <v>0.23529411764705879</v>
      </c>
      <c r="AK67" s="41">
        <f t="shared" si="104"/>
        <v>0.50735294117647056</v>
      </c>
      <c r="AL67" s="42">
        <v>0.252</v>
      </c>
      <c r="AM67" s="43">
        <v>0.26</v>
      </c>
      <c r="AN67" s="44"/>
      <c r="AO67" s="44"/>
      <c r="AP67" s="44"/>
    </row>
    <row r="68" spans="1:43" ht="13.5" customHeight="1">
      <c r="B68" s="31" t="s">
        <v>43</v>
      </c>
      <c r="C68" s="32">
        <v>2000</v>
      </c>
      <c r="D68" s="33">
        <v>300</v>
      </c>
      <c r="E68" s="34">
        <f t="shared" si="91"/>
        <v>0.17647058823529413</v>
      </c>
      <c r="F68" s="35">
        <f t="shared" si="92"/>
        <v>240</v>
      </c>
      <c r="G68" s="36">
        <f t="shared" si="93"/>
        <v>1700</v>
      </c>
      <c r="H68" s="34">
        <f t="shared" si="94"/>
        <v>0.3</v>
      </c>
      <c r="I68" s="33">
        <f t="shared" si="95"/>
        <v>600</v>
      </c>
      <c r="J68" s="32">
        <v>100</v>
      </c>
      <c r="K68" s="32">
        <v>200</v>
      </c>
      <c r="L68" s="33">
        <v>20</v>
      </c>
      <c r="M68" s="33">
        <v>5</v>
      </c>
      <c r="N68" s="33">
        <f t="shared" si="96"/>
        <v>175</v>
      </c>
      <c r="O68" s="33">
        <v>0</v>
      </c>
      <c r="P68" s="37"/>
      <c r="Q68" s="33">
        <v>200</v>
      </c>
      <c r="R68" s="33">
        <v>20</v>
      </c>
      <c r="S68" s="33">
        <v>5</v>
      </c>
      <c r="T68" s="33">
        <f t="shared" si="97"/>
        <v>175</v>
      </c>
      <c r="U68" s="33">
        <v>0</v>
      </c>
      <c r="V68" s="33">
        <v>44.09</v>
      </c>
      <c r="W68" s="38">
        <v>0</v>
      </c>
      <c r="X68" s="33">
        <v>200</v>
      </c>
      <c r="Y68" s="33">
        <v>20</v>
      </c>
      <c r="Z68" s="33">
        <v>5</v>
      </c>
      <c r="AA68" s="33">
        <f t="shared" si="98"/>
        <v>175</v>
      </c>
      <c r="AB68" s="33">
        <v>0</v>
      </c>
      <c r="AC68" s="33"/>
      <c r="AD68" s="33">
        <f t="shared" si="99"/>
        <v>60</v>
      </c>
      <c r="AE68" s="39">
        <f t="shared" si="105"/>
        <v>3.5294117647058823E-2</v>
      </c>
      <c r="AF68" s="33">
        <v>35</v>
      </c>
      <c r="AG68" s="33">
        <f t="shared" si="101"/>
        <v>402.5</v>
      </c>
      <c r="AH68" s="39">
        <f t="shared" si="102"/>
        <v>0.23676470588235293</v>
      </c>
      <c r="AI68" s="33">
        <v>400</v>
      </c>
      <c r="AJ68" s="40">
        <f t="shared" si="103"/>
        <v>0.23529411764705879</v>
      </c>
      <c r="AK68" s="41">
        <f t="shared" si="104"/>
        <v>0.50735294117647056</v>
      </c>
      <c r="AL68" s="42">
        <v>0.29199999999999998</v>
      </c>
      <c r="AM68" s="43">
        <v>0.28999999999999998</v>
      </c>
      <c r="AN68" s="44">
        <f>AN50+AI68</f>
        <v>1500</v>
      </c>
      <c r="AO68" s="44"/>
      <c r="AP68" s="44"/>
    </row>
    <row r="69" spans="1:43" ht="13.5" customHeight="1">
      <c r="B69" s="31" t="s">
        <v>44</v>
      </c>
      <c r="C69" s="32">
        <v>2000</v>
      </c>
      <c r="D69" s="33">
        <v>300</v>
      </c>
      <c r="E69" s="34">
        <f t="shared" si="91"/>
        <v>0.17647058823529413</v>
      </c>
      <c r="F69" s="35">
        <f t="shared" si="92"/>
        <v>240</v>
      </c>
      <c r="G69" s="36">
        <f t="shared" si="93"/>
        <v>1700</v>
      </c>
      <c r="H69" s="34">
        <f t="shared" si="94"/>
        <v>0.3</v>
      </c>
      <c r="I69" s="33">
        <f t="shared" si="95"/>
        <v>600</v>
      </c>
      <c r="J69" s="32">
        <v>100</v>
      </c>
      <c r="K69" s="32">
        <v>200</v>
      </c>
      <c r="L69" s="33">
        <v>20</v>
      </c>
      <c r="M69" s="33">
        <v>5</v>
      </c>
      <c r="N69" s="33">
        <f t="shared" si="96"/>
        <v>175</v>
      </c>
      <c r="O69" s="33">
        <v>0</v>
      </c>
      <c r="P69" s="37"/>
      <c r="Q69" s="33">
        <v>200</v>
      </c>
      <c r="R69" s="33">
        <v>20</v>
      </c>
      <c r="S69" s="33">
        <v>5</v>
      </c>
      <c r="T69" s="33">
        <f t="shared" si="97"/>
        <v>175</v>
      </c>
      <c r="U69" s="33">
        <v>0</v>
      </c>
      <c r="V69" s="33">
        <v>283.87</v>
      </c>
      <c r="W69" s="38">
        <v>0</v>
      </c>
      <c r="X69" s="33">
        <v>200</v>
      </c>
      <c r="Y69" s="33">
        <v>20</v>
      </c>
      <c r="Z69" s="33">
        <v>5</v>
      </c>
      <c r="AA69" s="33">
        <f t="shared" si="98"/>
        <v>175</v>
      </c>
      <c r="AB69" s="33">
        <v>0</v>
      </c>
      <c r="AC69" s="33"/>
      <c r="AD69" s="33">
        <f t="shared" si="99"/>
        <v>60</v>
      </c>
      <c r="AE69" s="39">
        <f t="shared" si="105"/>
        <v>3.5294117647058823E-2</v>
      </c>
      <c r="AF69" s="33">
        <v>35</v>
      </c>
      <c r="AG69" s="33">
        <f t="shared" si="101"/>
        <v>402.5</v>
      </c>
      <c r="AH69" s="39">
        <f t="shared" si="102"/>
        <v>0.23676470588235293</v>
      </c>
      <c r="AI69" s="33">
        <v>400</v>
      </c>
      <c r="AJ69" s="40">
        <f t="shared" si="103"/>
        <v>0.23529411764705879</v>
      </c>
      <c r="AK69" s="41">
        <f t="shared" si="104"/>
        <v>0.50735294117647056</v>
      </c>
      <c r="AL69" s="42">
        <v>0.223</v>
      </c>
      <c r="AM69" s="43">
        <v>0.26</v>
      </c>
      <c r="AN69" s="44">
        <f>AN51+AI69</f>
        <v>1500</v>
      </c>
      <c r="AO69" s="44"/>
    </row>
    <row r="70" spans="1:43" ht="19.5" customHeight="1">
      <c r="B70" s="31"/>
      <c r="C70" s="32"/>
      <c r="D70" s="33"/>
      <c r="E70" s="47"/>
      <c r="F70" s="48"/>
      <c r="G70" s="36"/>
      <c r="H70" s="47"/>
      <c r="I70" s="33"/>
      <c r="J70" s="32"/>
      <c r="K70" s="32"/>
      <c r="L70" s="33"/>
      <c r="M70" s="33"/>
      <c r="N70" s="33"/>
      <c r="O70" s="33"/>
      <c r="P70" s="37"/>
      <c r="Q70" s="49"/>
      <c r="R70" s="33"/>
      <c r="S70" s="33"/>
      <c r="T70" s="33"/>
      <c r="U70" s="33"/>
      <c r="V70" s="33"/>
      <c r="W70" s="38"/>
      <c r="X70" s="49"/>
      <c r="Y70" s="33"/>
      <c r="Z70" s="33"/>
      <c r="AA70" s="33"/>
      <c r="AB70" s="33"/>
      <c r="AC70" s="33"/>
      <c r="AD70" s="33"/>
      <c r="AE70" s="39"/>
      <c r="AF70" s="50"/>
      <c r="AG70" s="33"/>
      <c r="AH70" s="39"/>
      <c r="AI70" s="49"/>
      <c r="AJ70" s="40"/>
      <c r="AK70" s="41"/>
      <c r="AL70" s="42"/>
      <c r="AM70" s="43"/>
      <c r="AP70" s="44"/>
    </row>
    <row r="71" spans="1:43" ht="16" thickBot="1">
      <c r="B71" s="51" t="s">
        <v>45</v>
      </c>
      <c r="C71" s="52">
        <f t="shared" ref="C71:D71" si="106">SUM(C59:C70)</f>
        <v>22000</v>
      </c>
      <c r="D71" s="53">
        <f t="shared" si="106"/>
        <v>3300</v>
      </c>
      <c r="E71" s="54">
        <f>D71%/G71*100</f>
        <v>0.17647058823529413</v>
      </c>
      <c r="F71" s="55">
        <f t="shared" ref="F71:G71" si="107">SUM(F59:F70)</f>
        <v>2640</v>
      </c>
      <c r="G71" s="56">
        <f t="shared" si="107"/>
        <v>18700</v>
      </c>
      <c r="H71" s="54">
        <f>AVERAGE(H59:H70)</f>
        <v>0.29999999999999993</v>
      </c>
      <c r="I71" s="53">
        <f t="shared" ref="I71:V71" si="108">SUM(I59:I70)</f>
        <v>6600</v>
      </c>
      <c r="J71" s="52">
        <f t="shared" si="108"/>
        <v>1100</v>
      </c>
      <c r="K71" s="52">
        <f t="shared" si="108"/>
        <v>2200</v>
      </c>
      <c r="L71" s="53">
        <f t="shared" si="108"/>
        <v>220</v>
      </c>
      <c r="M71" s="53">
        <f t="shared" si="108"/>
        <v>55</v>
      </c>
      <c r="N71" s="53">
        <f t="shared" si="108"/>
        <v>1925</v>
      </c>
      <c r="O71" s="53">
        <f t="shared" si="108"/>
        <v>0</v>
      </c>
      <c r="P71" s="53">
        <f t="shared" si="108"/>
        <v>0</v>
      </c>
      <c r="Q71" s="57">
        <f t="shared" si="108"/>
        <v>2200</v>
      </c>
      <c r="R71" s="53">
        <f t="shared" si="108"/>
        <v>220</v>
      </c>
      <c r="S71" s="53">
        <f t="shared" si="108"/>
        <v>55</v>
      </c>
      <c r="T71" s="53">
        <f t="shared" si="108"/>
        <v>1925</v>
      </c>
      <c r="U71" s="53">
        <f t="shared" si="108"/>
        <v>0</v>
      </c>
      <c r="V71" s="53">
        <f t="shared" si="108"/>
        <v>1924.2799999999997</v>
      </c>
      <c r="W71" s="58">
        <f>AVERAGE(W59:W70)</f>
        <v>0</v>
      </c>
      <c r="X71" s="57">
        <f t="shared" ref="X71:AC71" si="109">SUM(X59:X70)</f>
        <v>2200</v>
      </c>
      <c r="Y71" s="53">
        <f t="shared" si="109"/>
        <v>220</v>
      </c>
      <c r="Z71" s="53">
        <f t="shared" si="109"/>
        <v>55</v>
      </c>
      <c r="AA71" s="53">
        <f t="shared" si="109"/>
        <v>1925</v>
      </c>
      <c r="AB71" s="53">
        <f t="shared" si="109"/>
        <v>0</v>
      </c>
      <c r="AC71" s="53">
        <f t="shared" si="109"/>
        <v>0</v>
      </c>
      <c r="AD71" s="53">
        <f>SUM(L71+R71+Y71)</f>
        <v>660</v>
      </c>
      <c r="AE71" s="59">
        <f>AVERAGE(AE59:AE70)</f>
        <v>3.5294117647058816E-2</v>
      </c>
      <c r="AF71" s="57">
        <f t="shared" ref="AF71:AG71" si="110">SUM(AF59:AF70)</f>
        <v>385</v>
      </c>
      <c r="AG71" s="53">
        <f t="shared" si="110"/>
        <v>4427.5</v>
      </c>
      <c r="AH71" s="59">
        <f>AG71%/G71*100</f>
        <v>0.23676470588235293</v>
      </c>
      <c r="AI71" s="57">
        <f>SUM(AI59:AI70)</f>
        <v>4400</v>
      </c>
      <c r="AJ71" s="60">
        <f>AI71%/G71*100</f>
        <v>0.23529411764705879</v>
      </c>
      <c r="AK71" s="61">
        <f>SUM(AE71+AH71+AJ71)</f>
        <v>0.50735294117647056</v>
      </c>
      <c r="AL71" s="62">
        <f t="shared" ref="AL71:AM71" si="111">AVERAGE(AL59:AL70)</f>
        <v>0.24109090909090902</v>
      </c>
      <c r="AM71" s="63">
        <f t="shared" si="111"/>
        <v>0.23727272727272722</v>
      </c>
      <c r="AN71" s="44">
        <f>SUM(AN59:AN70)</f>
        <v>15000</v>
      </c>
      <c r="AO71" s="44"/>
    </row>
    <row r="72" spans="1:43" ht="15.5">
      <c r="B72" s="64"/>
    </row>
    <row r="73" spans="1:43" ht="16" thickBot="1">
      <c r="B73" s="2" t="s">
        <v>52</v>
      </c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43" ht="47" thickBot="1">
      <c r="A74" s="5">
        <v>5</v>
      </c>
      <c r="B74" s="6" t="s">
        <v>1</v>
      </c>
      <c r="C74" s="7" t="s">
        <v>2</v>
      </c>
      <c r="D74" s="8" t="s">
        <v>3</v>
      </c>
      <c r="E74" s="8" t="s">
        <v>4</v>
      </c>
      <c r="F74" s="9" t="s">
        <v>5</v>
      </c>
      <c r="G74" s="10" t="s">
        <v>6</v>
      </c>
      <c r="H74" s="8" t="s">
        <v>7</v>
      </c>
      <c r="I74" s="8" t="s">
        <v>8</v>
      </c>
      <c r="J74" s="7" t="s">
        <v>9</v>
      </c>
      <c r="K74" s="7" t="s">
        <v>10</v>
      </c>
      <c r="L74" s="8" t="s">
        <v>11</v>
      </c>
      <c r="M74" s="8" t="s">
        <v>12</v>
      </c>
      <c r="N74" s="8" t="s">
        <v>13</v>
      </c>
      <c r="O74" s="8" t="s">
        <v>14</v>
      </c>
      <c r="P74" s="8" t="s">
        <v>15</v>
      </c>
      <c r="Q74" s="8" t="s">
        <v>16</v>
      </c>
      <c r="R74" s="8" t="s">
        <v>17</v>
      </c>
      <c r="S74" s="8" t="s">
        <v>12</v>
      </c>
      <c r="T74" s="8" t="s">
        <v>18</v>
      </c>
      <c r="U74" s="8" t="s">
        <v>14</v>
      </c>
      <c r="V74" s="11" t="s">
        <v>19</v>
      </c>
      <c r="W74" s="8" t="s">
        <v>20</v>
      </c>
      <c r="X74" s="8" t="s">
        <v>21</v>
      </c>
      <c r="Y74" s="8" t="s">
        <v>22</v>
      </c>
      <c r="Z74" s="8" t="s">
        <v>12</v>
      </c>
      <c r="AA74" s="8" t="s">
        <v>23</v>
      </c>
      <c r="AB74" s="8" t="s">
        <v>14</v>
      </c>
      <c r="AC74" s="8" t="s">
        <v>15</v>
      </c>
      <c r="AD74" s="8" t="s">
        <v>24</v>
      </c>
      <c r="AE74" s="8" t="s">
        <v>25</v>
      </c>
      <c r="AF74" s="8" t="s">
        <v>26</v>
      </c>
      <c r="AG74" s="8" t="s">
        <v>27</v>
      </c>
      <c r="AH74" s="8" t="s">
        <v>28</v>
      </c>
      <c r="AI74" s="8" t="s">
        <v>29</v>
      </c>
      <c r="AJ74" s="10" t="s">
        <v>30</v>
      </c>
      <c r="AK74" s="12" t="s">
        <v>31</v>
      </c>
      <c r="AL74" s="13" t="s">
        <v>32</v>
      </c>
      <c r="AM74" s="14" t="s">
        <v>33</v>
      </c>
      <c r="AN74" s="17" t="s">
        <v>53</v>
      </c>
      <c r="AO74" s="16"/>
      <c r="AP74" s="17"/>
    </row>
    <row r="75" spans="1:43" ht="15.5">
      <c r="A75" s="18"/>
      <c r="B75" s="19"/>
      <c r="C75" s="20"/>
      <c r="D75" s="21"/>
      <c r="E75" s="21"/>
      <c r="F75" s="22"/>
      <c r="G75" s="23"/>
      <c r="H75" s="24"/>
      <c r="I75" s="24"/>
      <c r="J75" s="25"/>
      <c r="K75" s="20"/>
      <c r="L75" s="21"/>
      <c r="M75" s="21"/>
      <c r="N75" s="21"/>
      <c r="O75" s="21"/>
      <c r="P75" s="26"/>
      <c r="Q75" s="27"/>
      <c r="R75" s="21"/>
      <c r="S75" s="21"/>
      <c r="T75" s="21"/>
      <c r="U75" s="21"/>
      <c r="V75" s="21"/>
      <c r="W75" s="26"/>
      <c r="X75" s="27"/>
      <c r="Y75" s="21"/>
      <c r="Z75" s="21"/>
      <c r="AA75" s="21"/>
      <c r="AB75" s="21"/>
      <c r="AC75" s="21"/>
      <c r="AD75" s="21"/>
      <c r="AE75" s="26"/>
      <c r="AF75" s="27"/>
      <c r="AG75" s="21"/>
      <c r="AH75" s="26"/>
      <c r="AI75" s="27"/>
      <c r="AJ75" s="23"/>
      <c r="AK75" s="28"/>
      <c r="AL75" s="29"/>
      <c r="AM75" s="30"/>
    </row>
    <row r="76" spans="1:43" ht="15.5">
      <c r="A76" s="18"/>
      <c r="B76" s="19"/>
      <c r="C76" s="25"/>
      <c r="D76" s="24"/>
      <c r="E76" s="24"/>
      <c r="F76" s="282"/>
      <c r="G76" s="283"/>
      <c r="H76" s="24"/>
      <c r="I76" s="24"/>
      <c r="J76" s="25"/>
      <c r="K76" s="25"/>
      <c r="L76" s="24"/>
      <c r="M76" s="24"/>
      <c r="N76" s="24"/>
      <c r="O76" s="24"/>
      <c r="P76" s="284"/>
      <c r="Q76" s="25"/>
      <c r="R76" s="24"/>
      <c r="S76" s="24"/>
      <c r="T76" s="24"/>
      <c r="U76" s="24"/>
      <c r="V76" s="24"/>
      <c r="W76" s="284"/>
      <c r="X76" s="25"/>
      <c r="Y76" s="24"/>
      <c r="Z76" s="24"/>
      <c r="AA76" s="24"/>
      <c r="AB76" s="24"/>
      <c r="AC76" s="24"/>
      <c r="AD76" s="24"/>
      <c r="AE76" s="284"/>
      <c r="AF76" s="25"/>
      <c r="AG76" s="24"/>
      <c r="AH76" s="284"/>
      <c r="AI76" s="25"/>
      <c r="AJ76" s="283"/>
      <c r="AK76" s="28"/>
      <c r="AL76" s="29"/>
      <c r="AM76" s="30"/>
    </row>
    <row r="77" spans="1:43" ht="15.5">
      <c r="B77" s="31" t="s">
        <v>35</v>
      </c>
      <c r="C77" s="32">
        <v>0</v>
      </c>
      <c r="D77" s="33">
        <v>0</v>
      </c>
      <c r="E77" s="34" t="e">
        <f t="shared" ref="E77:E87" si="112">D77%/G77*100</f>
        <v>#DIV/0!</v>
      </c>
      <c r="F77" s="35">
        <f t="shared" ref="F77:F87" si="113">C77*0.12</f>
        <v>0</v>
      </c>
      <c r="G77" s="36">
        <f t="shared" ref="G77:G87" si="114">C77-D77</f>
        <v>0</v>
      </c>
      <c r="H77" s="34" t="e">
        <f t="shared" ref="H77:H87" si="115">I77%/C77*100</f>
        <v>#DIV/0!</v>
      </c>
      <c r="I77" s="33">
        <f t="shared" ref="I77:I87" si="116">SUM(K77+Q77+X77)</f>
        <v>0</v>
      </c>
      <c r="J77" s="32">
        <v>0</v>
      </c>
      <c r="K77" s="32">
        <v>0</v>
      </c>
      <c r="L77" s="33">
        <v>0</v>
      </c>
      <c r="M77" s="33">
        <v>0</v>
      </c>
      <c r="N77" s="33">
        <f t="shared" ref="N77:N87" si="117">K77-L77-M77</f>
        <v>0</v>
      </c>
      <c r="O77" s="33">
        <v>0</v>
      </c>
      <c r="P77" s="37"/>
      <c r="Q77" s="33">
        <v>0</v>
      </c>
      <c r="R77" s="33">
        <v>0</v>
      </c>
      <c r="S77" s="33">
        <v>0</v>
      </c>
      <c r="T77" s="33">
        <f t="shared" ref="T77:T87" si="118">Q77-R77-S77</f>
        <v>0</v>
      </c>
      <c r="U77" s="33">
        <v>0</v>
      </c>
      <c r="V77" s="33"/>
      <c r="W77" s="38">
        <v>0</v>
      </c>
      <c r="X77" s="33">
        <v>0</v>
      </c>
      <c r="Y77" s="33">
        <v>0</v>
      </c>
      <c r="Z77" s="33">
        <v>0</v>
      </c>
      <c r="AA77" s="33">
        <f t="shared" ref="AA77:AA87" si="119">X77-Y77-Z77</f>
        <v>0</v>
      </c>
      <c r="AB77" s="33">
        <v>0</v>
      </c>
      <c r="AC77" s="33"/>
      <c r="AD77" s="33">
        <f t="shared" ref="AD77:AD87" si="120">SUM(L77+R77+Y77)</f>
        <v>0</v>
      </c>
      <c r="AE77" s="39" t="e">
        <f t="shared" ref="AE77:AE81" si="121">AD77%/G77*100</f>
        <v>#DIV/0!</v>
      </c>
      <c r="AF77" s="33">
        <v>0</v>
      </c>
      <c r="AG77" s="33">
        <f t="shared" ref="AG77:AG87" si="122">AVERAGE(AF77*11.5)</f>
        <v>0</v>
      </c>
      <c r="AH77" s="39" t="e">
        <f t="shared" ref="AH77:AH87" si="123">AG77%/G77*100</f>
        <v>#DIV/0!</v>
      </c>
      <c r="AI77" s="33">
        <v>0</v>
      </c>
      <c r="AJ77" s="40" t="e">
        <f t="shared" ref="AJ77:AJ87" si="124">AI77%/G77*100</f>
        <v>#DIV/0!</v>
      </c>
      <c r="AK77" s="41" t="e">
        <f t="shared" ref="AK77:AK87" si="125">SUM(AE77+AH77+AJ77)</f>
        <v>#DIV/0!</v>
      </c>
      <c r="AL77" s="42">
        <v>0</v>
      </c>
      <c r="AM77" s="43">
        <v>0</v>
      </c>
      <c r="AN77" s="44">
        <f>AN59+AI77-AO77</f>
        <v>1500</v>
      </c>
      <c r="AO77" s="44"/>
      <c r="AP77" s="44"/>
      <c r="AQ77" s="44"/>
    </row>
    <row r="78" spans="1:43" ht="15.5">
      <c r="B78" s="31" t="s">
        <v>36</v>
      </c>
      <c r="C78" s="32">
        <v>0</v>
      </c>
      <c r="D78" s="33">
        <v>0</v>
      </c>
      <c r="E78" s="34" t="e">
        <f t="shared" si="112"/>
        <v>#DIV/0!</v>
      </c>
      <c r="F78" s="35">
        <f t="shared" si="113"/>
        <v>0</v>
      </c>
      <c r="G78" s="36">
        <f t="shared" si="114"/>
        <v>0</v>
      </c>
      <c r="H78" s="34" t="e">
        <f t="shared" si="115"/>
        <v>#DIV/0!</v>
      </c>
      <c r="I78" s="33">
        <f t="shared" si="116"/>
        <v>0</v>
      </c>
      <c r="J78" s="32">
        <v>0</v>
      </c>
      <c r="K78" s="32">
        <v>0</v>
      </c>
      <c r="L78" s="33">
        <v>0</v>
      </c>
      <c r="M78" s="33">
        <v>0</v>
      </c>
      <c r="N78" s="33">
        <f t="shared" si="117"/>
        <v>0</v>
      </c>
      <c r="O78" s="33">
        <v>0</v>
      </c>
      <c r="P78" s="37"/>
      <c r="Q78" s="33">
        <v>0</v>
      </c>
      <c r="R78" s="33">
        <v>0</v>
      </c>
      <c r="S78" s="33">
        <v>0</v>
      </c>
      <c r="T78" s="33">
        <f t="shared" si="118"/>
        <v>0</v>
      </c>
      <c r="U78" s="33">
        <v>0</v>
      </c>
      <c r="V78" s="33"/>
      <c r="W78" s="38">
        <v>0</v>
      </c>
      <c r="X78" s="33">
        <v>0</v>
      </c>
      <c r="Y78" s="33">
        <v>0</v>
      </c>
      <c r="Z78" s="33">
        <v>0</v>
      </c>
      <c r="AA78" s="33">
        <f t="shared" si="119"/>
        <v>0</v>
      </c>
      <c r="AB78" s="33">
        <v>0</v>
      </c>
      <c r="AC78" s="33"/>
      <c r="AD78" s="33">
        <f t="shared" si="120"/>
        <v>0</v>
      </c>
      <c r="AE78" s="39" t="e">
        <f t="shared" si="121"/>
        <v>#DIV/0!</v>
      </c>
      <c r="AF78" s="33">
        <v>0</v>
      </c>
      <c r="AG78" s="33">
        <f t="shared" si="122"/>
        <v>0</v>
      </c>
      <c r="AH78" s="39" t="e">
        <f t="shared" si="123"/>
        <v>#DIV/0!</v>
      </c>
      <c r="AI78" s="33">
        <v>0</v>
      </c>
      <c r="AJ78" s="40" t="e">
        <f t="shared" si="124"/>
        <v>#DIV/0!</v>
      </c>
      <c r="AK78" s="41" t="e">
        <f t="shared" si="125"/>
        <v>#DIV/0!</v>
      </c>
      <c r="AL78" s="42">
        <v>0</v>
      </c>
      <c r="AM78" s="43">
        <v>0</v>
      </c>
      <c r="AN78" s="44">
        <f>AN60+AI78-AO78</f>
        <v>1500</v>
      </c>
      <c r="AO78" s="44"/>
      <c r="AP78" s="44"/>
      <c r="AQ78" s="44"/>
    </row>
    <row r="79" spans="1:43" ht="15.5">
      <c r="B79" s="31" t="s">
        <v>37</v>
      </c>
      <c r="C79" s="32">
        <v>0</v>
      </c>
      <c r="D79" s="33">
        <v>0</v>
      </c>
      <c r="E79" s="34" t="e">
        <f t="shared" si="112"/>
        <v>#DIV/0!</v>
      </c>
      <c r="F79" s="35">
        <f t="shared" si="113"/>
        <v>0</v>
      </c>
      <c r="G79" s="36">
        <f t="shared" si="114"/>
        <v>0</v>
      </c>
      <c r="H79" s="34" t="e">
        <f t="shared" si="115"/>
        <v>#DIV/0!</v>
      </c>
      <c r="I79" s="33">
        <f t="shared" si="116"/>
        <v>0</v>
      </c>
      <c r="J79" s="32">
        <v>0</v>
      </c>
      <c r="K79" s="32">
        <v>0</v>
      </c>
      <c r="L79" s="33">
        <v>0</v>
      </c>
      <c r="M79" s="33">
        <v>0</v>
      </c>
      <c r="N79" s="33">
        <f t="shared" si="117"/>
        <v>0</v>
      </c>
      <c r="O79" s="33">
        <v>0</v>
      </c>
      <c r="P79" s="37"/>
      <c r="Q79" s="33">
        <v>0</v>
      </c>
      <c r="R79" s="33">
        <v>0</v>
      </c>
      <c r="S79" s="33">
        <v>0</v>
      </c>
      <c r="T79" s="33">
        <f t="shared" si="118"/>
        <v>0</v>
      </c>
      <c r="U79" s="33">
        <v>0</v>
      </c>
      <c r="V79" s="45"/>
      <c r="W79" s="46">
        <v>0</v>
      </c>
      <c r="X79" s="33">
        <v>0</v>
      </c>
      <c r="Y79" s="33">
        <v>0</v>
      </c>
      <c r="Z79" s="33">
        <v>0</v>
      </c>
      <c r="AA79" s="33">
        <f t="shared" si="119"/>
        <v>0</v>
      </c>
      <c r="AB79" s="33">
        <v>0</v>
      </c>
      <c r="AC79" s="33"/>
      <c r="AD79" s="33">
        <f t="shared" si="120"/>
        <v>0</v>
      </c>
      <c r="AE79" s="39" t="e">
        <f t="shared" si="121"/>
        <v>#DIV/0!</v>
      </c>
      <c r="AF79" s="33">
        <v>0</v>
      </c>
      <c r="AG79" s="33">
        <f t="shared" si="122"/>
        <v>0</v>
      </c>
      <c r="AH79" s="39" t="e">
        <f t="shared" si="123"/>
        <v>#DIV/0!</v>
      </c>
      <c r="AI79" s="33">
        <v>0</v>
      </c>
      <c r="AJ79" s="40" t="e">
        <f t="shared" si="124"/>
        <v>#DIV/0!</v>
      </c>
      <c r="AK79" s="41" t="e">
        <f t="shared" si="125"/>
        <v>#DIV/0!</v>
      </c>
      <c r="AL79" s="42">
        <v>0</v>
      </c>
      <c r="AM79" s="43">
        <v>0</v>
      </c>
      <c r="AN79" s="44">
        <f>AN61+AI79-AO79</f>
        <v>1500</v>
      </c>
      <c r="AO79" s="44"/>
      <c r="AP79" s="44"/>
      <c r="AQ79" s="44"/>
    </row>
    <row r="80" spans="1:43" ht="15.5">
      <c r="B80" s="31" t="s">
        <v>38</v>
      </c>
      <c r="C80" s="32">
        <v>0</v>
      </c>
      <c r="D80" s="33">
        <v>0</v>
      </c>
      <c r="E80" s="34" t="e">
        <f t="shared" si="112"/>
        <v>#DIV/0!</v>
      </c>
      <c r="F80" s="35">
        <f t="shared" si="113"/>
        <v>0</v>
      </c>
      <c r="G80" s="36">
        <f t="shared" si="114"/>
        <v>0</v>
      </c>
      <c r="H80" s="34" t="e">
        <f t="shared" si="115"/>
        <v>#DIV/0!</v>
      </c>
      <c r="I80" s="33">
        <f t="shared" si="116"/>
        <v>0</v>
      </c>
      <c r="J80" s="32">
        <v>0</v>
      </c>
      <c r="K80" s="32">
        <v>0</v>
      </c>
      <c r="L80" s="33">
        <v>0</v>
      </c>
      <c r="M80" s="33">
        <v>0</v>
      </c>
      <c r="N80" s="33">
        <f t="shared" si="117"/>
        <v>0</v>
      </c>
      <c r="O80" s="33">
        <v>0</v>
      </c>
      <c r="P80" s="37"/>
      <c r="Q80" s="33">
        <v>0</v>
      </c>
      <c r="R80" s="33">
        <v>0</v>
      </c>
      <c r="S80" s="33">
        <v>0</v>
      </c>
      <c r="T80" s="33">
        <f t="shared" si="118"/>
        <v>0</v>
      </c>
      <c r="U80" s="33">
        <v>0</v>
      </c>
      <c r="V80" s="33"/>
      <c r="W80" s="38">
        <v>0</v>
      </c>
      <c r="X80" s="33">
        <v>0</v>
      </c>
      <c r="Y80" s="33">
        <v>0</v>
      </c>
      <c r="Z80" s="33">
        <v>0</v>
      </c>
      <c r="AA80" s="33">
        <f t="shared" si="119"/>
        <v>0</v>
      </c>
      <c r="AB80" s="33">
        <v>0</v>
      </c>
      <c r="AC80" s="33"/>
      <c r="AD80" s="33">
        <f t="shared" si="120"/>
        <v>0</v>
      </c>
      <c r="AE80" s="39" t="e">
        <f t="shared" si="121"/>
        <v>#DIV/0!</v>
      </c>
      <c r="AF80" s="33">
        <v>0</v>
      </c>
      <c r="AG80" s="33">
        <f t="shared" si="122"/>
        <v>0</v>
      </c>
      <c r="AH80" s="39" t="e">
        <f t="shared" si="123"/>
        <v>#DIV/0!</v>
      </c>
      <c r="AI80" s="33">
        <v>0</v>
      </c>
      <c r="AJ80" s="40" t="e">
        <f t="shared" si="124"/>
        <v>#DIV/0!</v>
      </c>
      <c r="AK80" s="41" t="e">
        <f t="shared" si="125"/>
        <v>#DIV/0!</v>
      </c>
      <c r="AL80" s="42">
        <v>0</v>
      </c>
      <c r="AM80" s="43">
        <v>0</v>
      </c>
      <c r="AN80" s="44">
        <f>AN62+AI80-AO80</f>
        <v>1500</v>
      </c>
      <c r="AO80" s="44"/>
      <c r="AP80" s="44"/>
      <c r="AQ80" s="44"/>
    </row>
    <row r="81" spans="1:43" ht="15.5">
      <c r="B81" s="31" t="s">
        <v>39</v>
      </c>
      <c r="C81" s="32">
        <v>0</v>
      </c>
      <c r="D81" s="33">
        <v>0</v>
      </c>
      <c r="E81" s="34" t="e">
        <f t="shared" si="112"/>
        <v>#DIV/0!</v>
      </c>
      <c r="F81" s="35">
        <f t="shared" si="113"/>
        <v>0</v>
      </c>
      <c r="G81" s="36">
        <f t="shared" si="114"/>
        <v>0</v>
      </c>
      <c r="H81" s="34" t="e">
        <f t="shared" si="115"/>
        <v>#DIV/0!</v>
      </c>
      <c r="I81" s="33">
        <f t="shared" si="116"/>
        <v>0</v>
      </c>
      <c r="J81" s="32">
        <v>0</v>
      </c>
      <c r="K81" s="32">
        <v>0</v>
      </c>
      <c r="L81" s="33">
        <v>0</v>
      </c>
      <c r="M81" s="33">
        <v>0</v>
      </c>
      <c r="N81" s="33">
        <f t="shared" si="117"/>
        <v>0</v>
      </c>
      <c r="O81" s="33">
        <v>0</v>
      </c>
      <c r="P81" s="37"/>
      <c r="Q81" s="33">
        <v>0</v>
      </c>
      <c r="R81" s="33">
        <v>0</v>
      </c>
      <c r="S81" s="33">
        <v>0</v>
      </c>
      <c r="T81" s="33">
        <f t="shared" si="118"/>
        <v>0</v>
      </c>
      <c r="U81" s="33">
        <v>0</v>
      </c>
      <c r="V81" s="45"/>
      <c r="W81" s="46">
        <v>0</v>
      </c>
      <c r="X81" s="33">
        <v>0</v>
      </c>
      <c r="Y81" s="33">
        <v>0</v>
      </c>
      <c r="Z81" s="33">
        <v>0</v>
      </c>
      <c r="AA81" s="33">
        <f t="shared" si="119"/>
        <v>0</v>
      </c>
      <c r="AB81" s="33">
        <v>0</v>
      </c>
      <c r="AC81" s="33"/>
      <c r="AD81" s="33">
        <f t="shared" si="120"/>
        <v>0</v>
      </c>
      <c r="AE81" s="39" t="e">
        <f t="shared" si="121"/>
        <v>#DIV/0!</v>
      </c>
      <c r="AF81" s="33">
        <v>0</v>
      </c>
      <c r="AG81" s="33">
        <f t="shared" si="122"/>
        <v>0</v>
      </c>
      <c r="AH81" s="39" t="e">
        <f t="shared" si="123"/>
        <v>#DIV/0!</v>
      </c>
      <c r="AI81" s="33">
        <v>0</v>
      </c>
      <c r="AJ81" s="40" t="e">
        <f t="shared" si="124"/>
        <v>#DIV/0!</v>
      </c>
      <c r="AK81" s="41" t="e">
        <f t="shared" si="125"/>
        <v>#DIV/0!</v>
      </c>
      <c r="AL81" s="42">
        <v>0</v>
      </c>
      <c r="AM81" s="43">
        <v>0</v>
      </c>
      <c r="AN81" s="44">
        <f>AN63+AI81-AO81</f>
        <v>1500</v>
      </c>
      <c r="AO81" s="44"/>
      <c r="AP81" s="44"/>
      <c r="AQ81" s="44"/>
    </row>
    <row r="82" spans="1:43" ht="15.5">
      <c r="B82" s="31" t="s">
        <v>40</v>
      </c>
      <c r="C82" s="32">
        <v>0</v>
      </c>
      <c r="D82" s="33">
        <v>0</v>
      </c>
      <c r="E82" s="34" t="e">
        <f t="shared" si="112"/>
        <v>#DIV/0!</v>
      </c>
      <c r="F82" s="35">
        <f t="shared" si="113"/>
        <v>0</v>
      </c>
      <c r="G82" s="36">
        <f t="shared" si="114"/>
        <v>0</v>
      </c>
      <c r="H82" s="34" t="e">
        <f t="shared" si="115"/>
        <v>#DIV/0!</v>
      </c>
      <c r="I82" s="33">
        <f t="shared" si="116"/>
        <v>0</v>
      </c>
      <c r="J82" s="32">
        <v>0</v>
      </c>
      <c r="K82" s="32">
        <v>0</v>
      </c>
      <c r="L82" s="33">
        <v>0</v>
      </c>
      <c r="M82" s="33">
        <v>0</v>
      </c>
      <c r="N82" s="33">
        <f t="shared" si="117"/>
        <v>0</v>
      </c>
      <c r="O82" s="33">
        <v>0</v>
      </c>
      <c r="P82" s="37"/>
      <c r="Q82" s="33">
        <v>0</v>
      </c>
      <c r="R82" s="33">
        <v>0</v>
      </c>
      <c r="S82" s="33">
        <v>0</v>
      </c>
      <c r="T82" s="33">
        <f t="shared" si="118"/>
        <v>0</v>
      </c>
      <c r="U82" s="33">
        <v>0</v>
      </c>
      <c r="V82" s="33"/>
      <c r="W82" s="38">
        <v>0</v>
      </c>
      <c r="X82" s="33">
        <v>0</v>
      </c>
      <c r="Y82" s="33">
        <v>0</v>
      </c>
      <c r="Z82" s="33">
        <v>0</v>
      </c>
      <c r="AA82" s="33">
        <f t="shared" si="119"/>
        <v>0</v>
      </c>
      <c r="AB82" s="33">
        <v>0</v>
      </c>
      <c r="AC82" s="33"/>
      <c r="AD82" s="33">
        <f t="shared" si="120"/>
        <v>0</v>
      </c>
      <c r="AE82" s="39"/>
      <c r="AF82" s="33">
        <v>0</v>
      </c>
      <c r="AG82" s="33">
        <f t="shared" si="122"/>
        <v>0</v>
      </c>
      <c r="AH82" s="39" t="e">
        <f t="shared" si="123"/>
        <v>#DIV/0!</v>
      </c>
      <c r="AI82" s="33">
        <v>0</v>
      </c>
      <c r="AJ82" s="40" t="e">
        <f t="shared" si="124"/>
        <v>#DIV/0!</v>
      </c>
      <c r="AK82" s="41" t="e">
        <f t="shared" si="125"/>
        <v>#DIV/0!</v>
      </c>
      <c r="AL82" s="42">
        <v>0</v>
      </c>
      <c r="AM82" s="43">
        <v>0</v>
      </c>
      <c r="AN82" s="44">
        <f>AN64+AI82-AO82</f>
        <v>1500</v>
      </c>
      <c r="AO82" s="44"/>
      <c r="AP82" s="44"/>
      <c r="AQ82" s="44"/>
    </row>
    <row r="83" spans="1:43" ht="14.25" customHeight="1">
      <c r="B83" s="31" t="s">
        <v>41</v>
      </c>
      <c r="C83" s="32">
        <v>0</v>
      </c>
      <c r="D83" s="33">
        <v>0</v>
      </c>
      <c r="E83" s="34" t="e">
        <f t="shared" si="112"/>
        <v>#DIV/0!</v>
      </c>
      <c r="F83" s="35">
        <f t="shared" si="113"/>
        <v>0</v>
      </c>
      <c r="G83" s="36">
        <f t="shared" si="114"/>
        <v>0</v>
      </c>
      <c r="H83" s="34" t="e">
        <f t="shared" si="115"/>
        <v>#DIV/0!</v>
      </c>
      <c r="I83" s="33">
        <f t="shared" si="116"/>
        <v>0</v>
      </c>
      <c r="J83" s="32">
        <v>0</v>
      </c>
      <c r="K83" s="32">
        <v>0</v>
      </c>
      <c r="L83" s="33">
        <v>0</v>
      </c>
      <c r="M83" s="33">
        <v>0</v>
      </c>
      <c r="N83" s="33">
        <f t="shared" si="117"/>
        <v>0</v>
      </c>
      <c r="O83" s="33">
        <v>0</v>
      </c>
      <c r="P83" s="37"/>
      <c r="Q83" s="33">
        <v>0</v>
      </c>
      <c r="R83" s="33">
        <v>0</v>
      </c>
      <c r="S83" s="33">
        <v>0</v>
      </c>
      <c r="T83" s="33">
        <f t="shared" si="118"/>
        <v>0</v>
      </c>
      <c r="U83" s="33">
        <v>0</v>
      </c>
      <c r="V83" s="33"/>
      <c r="W83" s="38">
        <v>0</v>
      </c>
      <c r="X83" s="33">
        <v>0</v>
      </c>
      <c r="Y83" s="33">
        <v>0</v>
      </c>
      <c r="Z83" s="33">
        <v>0</v>
      </c>
      <c r="AA83" s="33">
        <f t="shared" si="119"/>
        <v>0</v>
      </c>
      <c r="AB83" s="33">
        <v>0</v>
      </c>
      <c r="AC83" s="33"/>
      <c r="AD83" s="33">
        <f t="shared" si="120"/>
        <v>0</v>
      </c>
      <c r="AE83" s="39" t="e">
        <f t="shared" ref="AE83:AE87" si="126">AD83%/G83*100</f>
        <v>#DIV/0!</v>
      </c>
      <c r="AF83" s="33">
        <v>0</v>
      </c>
      <c r="AG83" s="33">
        <f t="shared" si="122"/>
        <v>0</v>
      </c>
      <c r="AH83" s="39" t="e">
        <f t="shared" si="123"/>
        <v>#DIV/0!</v>
      </c>
      <c r="AI83" s="33">
        <v>0</v>
      </c>
      <c r="AJ83" s="40" t="e">
        <f t="shared" si="124"/>
        <v>#DIV/0!</v>
      </c>
      <c r="AK83" s="41" t="e">
        <f t="shared" si="125"/>
        <v>#DIV/0!</v>
      </c>
      <c r="AL83" s="42">
        <v>0</v>
      </c>
      <c r="AM83" s="43">
        <v>0</v>
      </c>
      <c r="AN83" s="44">
        <f>AN65+AI83-AO83</f>
        <v>1500</v>
      </c>
      <c r="AO83" s="44"/>
      <c r="AP83" s="44"/>
      <c r="AQ83" s="44"/>
    </row>
    <row r="84" spans="1:43" ht="13.5" customHeight="1">
      <c r="B84" s="31" t="s">
        <v>42</v>
      </c>
      <c r="C84" s="32">
        <v>0</v>
      </c>
      <c r="D84" s="33">
        <v>0</v>
      </c>
      <c r="E84" s="34" t="e">
        <f t="shared" si="112"/>
        <v>#DIV/0!</v>
      </c>
      <c r="F84" s="35">
        <f t="shared" si="113"/>
        <v>0</v>
      </c>
      <c r="G84" s="36">
        <f t="shared" si="114"/>
        <v>0</v>
      </c>
      <c r="H84" s="34" t="e">
        <f t="shared" si="115"/>
        <v>#DIV/0!</v>
      </c>
      <c r="I84" s="33">
        <f t="shared" si="116"/>
        <v>0</v>
      </c>
      <c r="J84" s="32">
        <v>0</v>
      </c>
      <c r="K84" s="32">
        <v>0</v>
      </c>
      <c r="L84" s="33">
        <v>0</v>
      </c>
      <c r="M84" s="33">
        <v>0</v>
      </c>
      <c r="N84" s="33">
        <f t="shared" si="117"/>
        <v>0</v>
      </c>
      <c r="O84" s="33">
        <v>0</v>
      </c>
      <c r="P84" s="37"/>
      <c r="Q84" s="33">
        <v>0</v>
      </c>
      <c r="R84" s="33">
        <v>0</v>
      </c>
      <c r="S84" s="33">
        <v>0</v>
      </c>
      <c r="T84" s="33">
        <f t="shared" si="118"/>
        <v>0</v>
      </c>
      <c r="U84" s="33">
        <v>0</v>
      </c>
      <c r="V84" s="33"/>
      <c r="W84" s="38">
        <v>0</v>
      </c>
      <c r="X84" s="33">
        <v>0</v>
      </c>
      <c r="Y84" s="33">
        <v>0</v>
      </c>
      <c r="Z84" s="33">
        <v>0</v>
      </c>
      <c r="AA84" s="33">
        <f t="shared" si="119"/>
        <v>0</v>
      </c>
      <c r="AB84" s="33">
        <v>0</v>
      </c>
      <c r="AC84" s="33"/>
      <c r="AD84" s="33">
        <f t="shared" si="120"/>
        <v>0</v>
      </c>
      <c r="AE84" s="39" t="e">
        <f t="shared" si="126"/>
        <v>#DIV/0!</v>
      </c>
      <c r="AF84" s="33">
        <v>0</v>
      </c>
      <c r="AG84" s="33">
        <f t="shared" si="122"/>
        <v>0</v>
      </c>
      <c r="AH84" s="39" t="e">
        <f t="shared" si="123"/>
        <v>#DIV/0!</v>
      </c>
      <c r="AI84" s="33">
        <v>0</v>
      </c>
      <c r="AJ84" s="40" t="e">
        <f t="shared" si="124"/>
        <v>#DIV/0!</v>
      </c>
      <c r="AK84" s="41" t="e">
        <f t="shared" si="125"/>
        <v>#DIV/0!</v>
      </c>
      <c r="AL84" s="42">
        <v>0</v>
      </c>
      <c r="AM84" s="43">
        <v>0</v>
      </c>
      <c r="AN84" s="44">
        <f>AN66+AI84-AO84</f>
        <v>1500</v>
      </c>
      <c r="AO84" s="44"/>
      <c r="AP84" s="44"/>
    </row>
    <row r="85" spans="1:43" ht="13.5" customHeight="1">
      <c r="B85" s="31"/>
      <c r="C85" s="32"/>
      <c r="D85" s="33"/>
      <c r="E85" s="34"/>
      <c r="F85" s="35"/>
      <c r="G85" s="36"/>
      <c r="H85" s="34"/>
      <c r="I85" s="33"/>
      <c r="J85" s="32"/>
      <c r="K85" s="32"/>
      <c r="L85" s="33"/>
      <c r="M85" s="33"/>
      <c r="N85" s="33"/>
      <c r="O85" s="33"/>
      <c r="P85" s="37"/>
      <c r="Q85" s="33"/>
      <c r="R85" s="33"/>
      <c r="S85" s="33"/>
      <c r="T85" s="33"/>
      <c r="U85" s="33"/>
      <c r="V85" s="33"/>
      <c r="W85" s="38"/>
      <c r="X85" s="33"/>
      <c r="Y85" s="33"/>
      <c r="Z85" s="33"/>
      <c r="AA85" s="33"/>
      <c r="AB85" s="33"/>
      <c r="AC85" s="33"/>
      <c r="AD85" s="33"/>
      <c r="AE85" s="39"/>
      <c r="AF85" s="33"/>
      <c r="AG85" s="33"/>
      <c r="AH85" s="39"/>
      <c r="AI85" s="33"/>
      <c r="AJ85" s="40"/>
      <c r="AK85" s="41"/>
      <c r="AL85" s="42"/>
      <c r="AM85" s="43"/>
      <c r="AN85" s="44"/>
      <c r="AO85" s="44"/>
      <c r="AP85" s="44"/>
    </row>
    <row r="86" spans="1:43" ht="13.5" customHeight="1">
      <c r="B86" s="31" t="s">
        <v>43</v>
      </c>
      <c r="C86" s="32">
        <v>0</v>
      </c>
      <c r="D86" s="33">
        <v>0</v>
      </c>
      <c r="E86" s="34" t="e">
        <f t="shared" si="112"/>
        <v>#DIV/0!</v>
      </c>
      <c r="F86" s="35">
        <f t="shared" si="113"/>
        <v>0</v>
      </c>
      <c r="G86" s="36">
        <f t="shared" si="114"/>
        <v>0</v>
      </c>
      <c r="H86" s="34" t="e">
        <f t="shared" si="115"/>
        <v>#DIV/0!</v>
      </c>
      <c r="I86" s="33">
        <f t="shared" si="116"/>
        <v>0</v>
      </c>
      <c r="J86" s="32">
        <v>0</v>
      </c>
      <c r="K86" s="32">
        <v>0</v>
      </c>
      <c r="L86" s="33">
        <v>0</v>
      </c>
      <c r="M86" s="33">
        <v>0</v>
      </c>
      <c r="N86" s="33">
        <f t="shared" si="117"/>
        <v>0</v>
      </c>
      <c r="O86" s="33">
        <v>0</v>
      </c>
      <c r="P86" s="37"/>
      <c r="Q86" s="33">
        <v>0</v>
      </c>
      <c r="R86" s="33">
        <v>0</v>
      </c>
      <c r="S86" s="33">
        <v>0</v>
      </c>
      <c r="T86" s="33">
        <f t="shared" si="118"/>
        <v>0</v>
      </c>
      <c r="U86" s="33">
        <v>0</v>
      </c>
      <c r="V86" s="33"/>
      <c r="W86" s="38">
        <v>0</v>
      </c>
      <c r="X86" s="33">
        <v>0</v>
      </c>
      <c r="Y86" s="33">
        <v>0</v>
      </c>
      <c r="Z86" s="33">
        <v>0</v>
      </c>
      <c r="AA86" s="33">
        <f t="shared" si="119"/>
        <v>0</v>
      </c>
      <c r="AB86" s="33">
        <v>0</v>
      </c>
      <c r="AC86" s="33"/>
      <c r="AD86" s="33">
        <f t="shared" si="120"/>
        <v>0</v>
      </c>
      <c r="AE86" s="39" t="e">
        <f t="shared" si="126"/>
        <v>#DIV/0!</v>
      </c>
      <c r="AF86" s="33">
        <v>0</v>
      </c>
      <c r="AG86" s="33">
        <f t="shared" si="122"/>
        <v>0</v>
      </c>
      <c r="AH86" s="39" t="e">
        <f t="shared" si="123"/>
        <v>#DIV/0!</v>
      </c>
      <c r="AI86" s="33">
        <v>0</v>
      </c>
      <c r="AJ86" s="40" t="e">
        <f t="shared" si="124"/>
        <v>#DIV/0!</v>
      </c>
      <c r="AK86" s="41" t="e">
        <f t="shared" si="125"/>
        <v>#DIV/0!</v>
      </c>
      <c r="AL86" s="42">
        <v>0</v>
      </c>
      <c r="AM86" s="43">
        <v>0</v>
      </c>
      <c r="AN86" s="44">
        <f>AN68+AI86-AO86</f>
        <v>1500</v>
      </c>
      <c r="AO86" s="44"/>
      <c r="AP86" s="44"/>
    </row>
    <row r="87" spans="1:43" ht="13.5" customHeight="1">
      <c r="B87" s="31" t="s">
        <v>44</v>
      </c>
      <c r="C87" s="32">
        <v>0</v>
      </c>
      <c r="D87" s="33">
        <v>0</v>
      </c>
      <c r="E87" s="34" t="e">
        <f t="shared" si="112"/>
        <v>#DIV/0!</v>
      </c>
      <c r="F87" s="35">
        <f t="shared" si="113"/>
        <v>0</v>
      </c>
      <c r="G87" s="36">
        <f t="shared" si="114"/>
        <v>0</v>
      </c>
      <c r="H87" s="34" t="e">
        <f t="shared" si="115"/>
        <v>#DIV/0!</v>
      </c>
      <c r="I87" s="33">
        <f t="shared" si="116"/>
        <v>0</v>
      </c>
      <c r="J87" s="32">
        <v>0</v>
      </c>
      <c r="K87" s="32">
        <v>0</v>
      </c>
      <c r="L87" s="33">
        <v>0</v>
      </c>
      <c r="M87" s="33">
        <v>0</v>
      </c>
      <c r="N87" s="33">
        <f t="shared" si="117"/>
        <v>0</v>
      </c>
      <c r="O87" s="33">
        <v>0</v>
      </c>
      <c r="P87" s="37"/>
      <c r="Q87" s="33">
        <v>0</v>
      </c>
      <c r="R87" s="33">
        <v>0</v>
      </c>
      <c r="S87" s="33">
        <v>0</v>
      </c>
      <c r="T87" s="33">
        <f t="shared" si="118"/>
        <v>0</v>
      </c>
      <c r="U87" s="33">
        <v>0</v>
      </c>
      <c r="V87" s="33"/>
      <c r="W87" s="38">
        <v>0</v>
      </c>
      <c r="X87" s="33">
        <v>0</v>
      </c>
      <c r="Y87" s="33">
        <v>0</v>
      </c>
      <c r="Z87" s="33">
        <v>0</v>
      </c>
      <c r="AA87" s="33">
        <f t="shared" si="119"/>
        <v>0</v>
      </c>
      <c r="AB87" s="33">
        <v>0</v>
      </c>
      <c r="AC87" s="33"/>
      <c r="AD87" s="33">
        <f t="shared" si="120"/>
        <v>0</v>
      </c>
      <c r="AE87" s="39" t="e">
        <f t="shared" si="126"/>
        <v>#DIV/0!</v>
      </c>
      <c r="AF87" s="33">
        <v>0</v>
      </c>
      <c r="AG87" s="33">
        <f t="shared" si="122"/>
        <v>0</v>
      </c>
      <c r="AH87" s="39" t="e">
        <f t="shared" si="123"/>
        <v>#DIV/0!</v>
      </c>
      <c r="AI87" s="33">
        <v>0</v>
      </c>
      <c r="AJ87" s="40" t="e">
        <f t="shared" si="124"/>
        <v>#DIV/0!</v>
      </c>
      <c r="AK87" s="41" t="e">
        <f t="shared" si="125"/>
        <v>#DIV/0!</v>
      </c>
      <c r="AL87" s="42">
        <v>0</v>
      </c>
      <c r="AM87" s="43">
        <v>0</v>
      </c>
      <c r="AN87" s="44">
        <f>AN69+AI87-AO87</f>
        <v>1500</v>
      </c>
      <c r="AO87" s="44"/>
    </row>
    <row r="88" spans="1:43" ht="19.5" customHeight="1">
      <c r="B88" s="31"/>
      <c r="C88" s="32"/>
      <c r="D88" s="33"/>
      <c r="E88" s="47"/>
      <c r="F88" s="48"/>
      <c r="G88" s="36"/>
      <c r="H88" s="47"/>
      <c r="I88" s="33"/>
      <c r="J88" s="32"/>
      <c r="K88" s="32"/>
      <c r="L88" s="33"/>
      <c r="M88" s="33"/>
      <c r="N88" s="33"/>
      <c r="O88" s="33"/>
      <c r="P88" s="37"/>
      <c r="Q88" s="49"/>
      <c r="R88" s="33"/>
      <c r="S88" s="33"/>
      <c r="T88" s="33"/>
      <c r="U88" s="33"/>
      <c r="V88" s="33"/>
      <c r="W88" s="38"/>
      <c r="X88" s="49"/>
      <c r="Y88" s="33"/>
      <c r="Z88" s="33"/>
      <c r="AA88" s="33"/>
      <c r="AB88" s="33"/>
      <c r="AC88" s="33"/>
      <c r="AD88" s="33"/>
      <c r="AE88" s="39"/>
      <c r="AF88" s="50"/>
      <c r="AG88" s="33"/>
      <c r="AH88" s="39"/>
      <c r="AI88" s="49"/>
      <c r="AJ88" s="40"/>
      <c r="AK88" s="41"/>
      <c r="AL88" s="42"/>
      <c r="AM88" s="43"/>
      <c r="AP88" s="44"/>
    </row>
    <row r="89" spans="1:43" ht="16" thickBot="1">
      <c r="B89" s="51" t="s">
        <v>45</v>
      </c>
      <c r="C89" s="52">
        <f t="shared" ref="C89:D89" si="127">SUM(C77:C88)</f>
        <v>0</v>
      </c>
      <c r="D89" s="53">
        <f t="shared" si="127"/>
        <v>0</v>
      </c>
      <c r="E89" s="54" t="e">
        <f>D89%/G89*100</f>
        <v>#DIV/0!</v>
      </c>
      <c r="F89" s="55">
        <f t="shared" ref="F89:G89" si="128">SUM(F77:F88)</f>
        <v>0</v>
      </c>
      <c r="G89" s="56">
        <f t="shared" si="128"/>
        <v>0</v>
      </c>
      <c r="H89" s="54" t="e">
        <f>AVERAGE(H77:H88)</f>
        <v>#DIV/0!</v>
      </c>
      <c r="I89" s="53">
        <f t="shared" ref="I89:V89" si="129">SUM(I77:I88)</f>
        <v>0</v>
      </c>
      <c r="J89" s="52">
        <f t="shared" si="129"/>
        <v>0</v>
      </c>
      <c r="K89" s="52">
        <f t="shared" si="129"/>
        <v>0</v>
      </c>
      <c r="L89" s="53">
        <f t="shared" si="129"/>
        <v>0</v>
      </c>
      <c r="M89" s="53">
        <f t="shared" si="129"/>
        <v>0</v>
      </c>
      <c r="N89" s="53">
        <f t="shared" si="129"/>
        <v>0</v>
      </c>
      <c r="O89" s="53">
        <f t="shared" si="129"/>
        <v>0</v>
      </c>
      <c r="P89" s="53">
        <f t="shared" si="129"/>
        <v>0</v>
      </c>
      <c r="Q89" s="57">
        <f t="shared" si="129"/>
        <v>0</v>
      </c>
      <c r="R89" s="53">
        <f t="shared" si="129"/>
        <v>0</v>
      </c>
      <c r="S89" s="53">
        <f t="shared" si="129"/>
        <v>0</v>
      </c>
      <c r="T89" s="53">
        <f t="shared" si="129"/>
        <v>0</v>
      </c>
      <c r="U89" s="53">
        <f t="shared" si="129"/>
        <v>0</v>
      </c>
      <c r="V89" s="53">
        <f t="shared" si="129"/>
        <v>0</v>
      </c>
      <c r="W89" s="58">
        <f>AVERAGE(W77:W88)</f>
        <v>0</v>
      </c>
      <c r="X89" s="57">
        <f t="shared" ref="X89:AC89" si="130">SUM(X77:X88)</f>
        <v>0</v>
      </c>
      <c r="Y89" s="53">
        <f t="shared" si="130"/>
        <v>0</v>
      </c>
      <c r="Z89" s="53">
        <f t="shared" si="130"/>
        <v>0</v>
      </c>
      <c r="AA89" s="53">
        <f t="shared" si="130"/>
        <v>0</v>
      </c>
      <c r="AB89" s="53">
        <f t="shared" si="130"/>
        <v>0</v>
      </c>
      <c r="AC89" s="53">
        <f t="shared" si="130"/>
        <v>0</v>
      </c>
      <c r="AD89" s="53">
        <f>SUM(L89+R89+Y89)</f>
        <v>0</v>
      </c>
      <c r="AE89" s="59" t="e">
        <f>AVERAGE(AE77:AE88)</f>
        <v>#DIV/0!</v>
      </c>
      <c r="AF89" s="57">
        <f t="shared" ref="AF89:AG89" si="131">SUM(AF77:AF88)</f>
        <v>0</v>
      </c>
      <c r="AG89" s="53">
        <f t="shared" si="131"/>
        <v>0</v>
      </c>
      <c r="AH89" s="59" t="e">
        <f>AG89%/G89*100</f>
        <v>#DIV/0!</v>
      </c>
      <c r="AI89" s="57">
        <f>SUM(AI77:AI88)</f>
        <v>0</v>
      </c>
      <c r="AJ89" s="60" t="e">
        <f>AI89%/G89*100</f>
        <v>#DIV/0!</v>
      </c>
      <c r="AK89" s="61" t="e">
        <f>SUM(AE89+AH89+AJ89)</f>
        <v>#DIV/0!</v>
      </c>
      <c r="AL89" s="62">
        <f t="shared" ref="AL89:AM89" si="132">AVERAGE(AL77:AL88)</f>
        <v>0</v>
      </c>
      <c r="AM89" s="63">
        <f t="shared" si="132"/>
        <v>0</v>
      </c>
      <c r="AN89" s="44">
        <f>SUM(AN77:AN88)</f>
        <v>15000</v>
      </c>
      <c r="AO89" s="44"/>
    </row>
    <row r="90" spans="1:43" ht="16" thickBot="1">
      <c r="B90" s="64"/>
    </row>
    <row r="91" spans="1:43" ht="16" thickBot="1">
      <c r="A91" s="65"/>
      <c r="B91" s="66" t="s">
        <v>54</v>
      </c>
      <c r="C91" s="67"/>
      <c r="D91" s="67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9"/>
      <c r="AL91" s="69"/>
      <c r="AM91" s="70"/>
      <c r="AN91" s="71"/>
      <c r="AO91" s="71"/>
      <c r="AP91" s="71"/>
      <c r="AQ91" s="71"/>
    </row>
    <row r="92" spans="1:43" ht="47" thickBot="1">
      <c r="A92" s="72" t="s">
        <v>55</v>
      </c>
      <c r="B92" s="73" t="s">
        <v>1</v>
      </c>
      <c r="C92" s="74" t="s">
        <v>2</v>
      </c>
      <c r="D92" s="75" t="s">
        <v>3</v>
      </c>
      <c r="E92" s="75" t="s">
        <v>4</v>
      </c>
      <c r="F92" s="75" t="s">
        <v>5</v>
      </c>
      <c r="G92" s="76" t="s">
        <v>6</v>
      </c>
      <c r="H92" s="75" t="s">
        <v>7</v>
      </c>
      <c r="I92" s="75" t="s">
        <v>8</v>
      </c>
      <c r="J92" s="74" t="s">
        <v>9</v>
      </c>
      <c r="K92" s="74" t="s">
        <v>10</v>
      </c>
      <c r="L92" s="75" t="s">
        <v>11</v>
      </c>
      <c r="M92" s="75" t="s">
        <v>12</v>
      </c>
      <c r="N92" s="75" t="s">
        <v>13</v>
      </c>
      <c r="O92" s="75" t="s">
        <v>14</v>
      </c>
      <c r="P92" s="75" t="s">
        <v>15</v>
      </c>
      <c r="Q92" s="75" t="s">
        <v>16</v>
      </c>
      <c r="R92" s="75" t="s">
        <v>17</v>
      </c>
      <c r="S92" s="75" t="s">
        <v>12</v>
      </c>
      <c r="T92" s="75" t="s">
        <v>18</v>
      </c>
      <c r="U92" s="75" t="s">
        <v>14</v>
      </c>
      <c r="V92" s="75" t="s">
        <v>19</v>
      </c>
      <c r="W92" s="75" t="s">
        <v>20</v>
      </c>
      <c r="X92" s="75" t="s">
        <v>21</v>
      </c>
      <c r="Y92" s="75" t="s">
        <v>22</v>
      </c>
      <c r="Z92" s="75" t="s">
        <v>12</v>
      </c>
      <c r="AA92" s="75" t="s">
        <v>23</v>
      </c>
      <c r="AB92" s="75" t="s">
        <v>14</v>
      </c>
      <c r="AC92" s="75" t="s">
        <v>15</v>
      </c>
      <c r="AD92" s="75" t="s">
        <v>24</v>
      </c>
      <c r="AE92" s="75" t="s">
        <v>25</v>
      </c>
      <c r="AF92" s="75" t="s">
        <v>26</v>
      </c>
      <c r="AG92" s="75" t="s">
        <v>27</v>
      </c>
      <c r="AH92" s="75" t="s">
        <v>28</v>
      </c>
      <c r="AI92" s="75" t="s">
        <v>29</v>
      </c>
      <c r="AJ92" s="76" t="s">
        <v>30</v>
      </c>
      <c r="AK92" s="77" t="s">
        <v>31</v>
      </c>
      <c r="AL92" s="78" t="s">
        <v>32</v>
      </c>
      <c r="AM92" s="79" t="s">
        <v>33</v>
      </c>
      <c r="AN92" s="17" t="s">
        <v>53</v>
      </c>
      <c r="AO92" s="16" t="s">
        <v>56</v>
      </c>
      <c r="AP92" s="71"/>
      <c r="AQ92" s="71"/>
    </row>
    <row r="93" spans="1:43" ht="19.5" customHeight="1">
      <c r="A93" s="80"/>
      <c r="B93" s="81"/>
      <c r="C93" s="82"/>
      <c r="D93" s="83"/>
      <c r="E93" s="83"/>
      <c r="F93" s="84"/>
      <c r="G93" s="84"/>
      <c r="H93" s="85"/>
      <c r="I93" s="85"/>
      <c r="J93" s="86"/>
      <c r="K93" s="87"/>
      <c r="L93" s="83"/>
      <c r="M93" s="83"/>
      <c r="N93" s="83"/>
      <c r="O93" s="83"/>
      <c r="P93" s="88"/>
      <c r="Q93" s="89"/>
      <c r="R93" s="83"/>
      <c r="S93" s="83"/>
      <c r="T93" s="83"/>
      <c r="U93" s="83"/>
      <c r="V93" s="83"/>
      <c r="W93" s="88"/>
      <c r="X93" s="89"/>
      <c r="Y93" s="83"/>
      <c r="Z93" s="83"/>
      <c r="AA93" s="83"/>
      <c r="AB93" s="83"/>
      <c r="AC93" s="83"/>
      <c r="AD93" s="83"/>
      <c r="AE93" s="88"/>
      <c r="AF93" s="89"/>
      <c r="AG93" s="83"/>
      <c r="AH93" s="88"/>
      <c r="AI93" s="89"/>
      <c r="AJ93" s="84"/>
      <c r="AK93" s="90"/>
      <c r="AL93" s="91"/>
      <c r="AM93" s="92"/>
      <c r="AP93" s="71"/>
      <c r="AQ93" s="71"/>
    </row>
    <row r="94" spans="1:43" ht="16" thickBot="1">
      <c r="A94" s="80"/>
      <c r="B94" s="93" t="s">
        <v>138</v>
      </c>
      <c r="C94" s="87">
        <f>C4+C22+C40+C58+C76</f>
        <v>8000</v>
      </c>
      <c r="D94" s="87">
        <f>D4+D22+D40+D58+D76</f>
        <v>1200</v>
      </c>
      <c r="E94" s="94">
        <f t="shared" ref="E94" si="133">D94%/C94*100</f>
        <v>0.15</v>
      </c>
      <c r="F94" s="95">
        <f t="shared" ref="F94" si="134">C94*0.12</f>
        <v>960</v>
      </c>
      <c r="G94" s="96">
        <f t="shared" ref="G94" si="135">C94-D94</f>
        <v>6800</v>
      </c>
      <c r="H94" s="94">
        <f t="shared" ref="H94" si="136">I94%/C94*100</f>
        <v>0.3</v>
      </c>
      <c r="I94" s="97">
        <f t="shared" ref="I94" si="137">SUM(K94+Q94+X94)</f>
        <v>2400</v>
      </c>
      <c r="J94" s="87">
        <f>J4+J22+J40+J58+J76</f>
        <v>400</v>
      </c>
      <c r="K94" s="87">
        <f>K4+K22+K40+K58+K76</f>
        <v>800</v>
      </c>
      <c r="L94" s="87">
        <f>L4+L22+L40+L58+L76</f>
        <v>80</v>
      </c>
      <c r="M94" s="87">
        <f>M4+M22+M40+M58+M76</f>
        <v>20</v>
      </c>
      <c r="N94" s="97">
        <f t="shared" ref="N94" si="138">K94-L94-M94</f>
        <v>700</v>
      </c>
      <c r="O94" s="97">
        <v>0</v>
      </c>
      <c r="P94" s="98"/>
      <c r="Q94" s="87">
        <f>Q4+Q22+Q40+Q58+Q76</f>
        <v>800</v>
      </c>
      <c r="R94" s="87">
        <f>R4+R22+R40+R58+R76</f>
        <v>80</v>
      </c>
      <c r="S94" s="87">
        <f>S22+S40+S58+S76</f>
        <v>15</v>
      </c>
      <c r="T94" s="87">
        <f>T22+T40+T58+T76</f>
        <v>525</v>
      </c>
      <c r="U94" s="97">
        <v>0</v>
      </c>
      <c r="V94" s="97"/>
      <c r="W94" s="99">
        <v>0</v>
      </c>
      <c r="X94" s="87">
        <f>X4+X22+X40+X58+X76</f>
        <v>800</v>
      </c>
      <c r="Y94" s="87">
        <f>Y4+Y22+Y40+Y58+Y76</f>
        <v>80</v>
      </c>
      <c r="Z94" s="87">
        <f>Z4+Z22+Z40+Z58+Z76</f>
        <v>20</v>
      </c>
      <c r="AA94" s="97">
        <f t="shared" ref="AA94" si="139">X94-Y94-Z94</f>
        <v>700</v>
      </c>
      <c r="AB94" s="97">
        <v>0</v>
      </c>
      <c r="AC94" s="97"/>
      <c r="AD94" s="97">
        <f t="shared" ref="AD94" si="140">SUM(L94+R94+Y94)</f>
        <v>240</v>
      </c>
      <c r="AE94" s="100">
        <f t="shared" ref="AE94" si="141">AD94%/G94*100</f>
        <v>3.5294117647058823E-2</v>
      </c>
      <c r="AF94" s="87">
        <f>AF4+AF22+AF40+AF58+AF76</f>
        <v>140</v>
      </c>
      <c r="AG94" s="97">
        <f t="shared" ref="AG94" si="142">AVERAGE(AF94*10.5)</f>
        <v>1470</v>
      </c>
      <c r="AH94" s="100">
        <f t="shared" ref="AH94" si="143">AG94%/G94*100</f>
        <v>0.2161764705882353</v>
      </c>
      <c r="AI94" s="87">
        <f>AI4+AI22+AI40+AI58+AI76</f>
        <v>1600</v>
      </c>
      <c r="AJ94" s="101">
        <f t="shared" ref="AJ94" si="144">AI94%/G94*100</f>
        <v>0.23529411764705879</v>
      </c>
      <c r="AK94" s="102">
        <f t="shared" ref="AK94" si="145">SUM(AE94+AH94+AJ94)</f>
        <v>0.48676470588235288</v>
      </c>
      <c r="AL94" s="103">
        <f>AVERAGE(AL4,AL22,AL40,AL58,AL76)</f>
        <v>0.252</v>
      </c>
      <c r="AM94" s="103">
        <f>AVERAGE(AM4,AM22,AM40,AM58,AM76)</f>
        <v>0.26</v>
      </c>
      <c r="AN94" s="44">
        <f>AN76+AO94</f>
        <v>0</v>
      </c>
      <c r="AO94" s="44">
        <v>0</v>
      </c>
      <c r="AP94" s="71"/>
      <c r="AQ94" s="71"/>
    </row>
    <row r="95" spans="1:43" ht="16" thickBot="1">
      <c r="A95" s="80"/>
      <c r="B95" s="93" t="s">
        <v>35</v>
      </c>
      <c r="C95" s="87">
        <f>C5+C23+C41+C59+C77</f>
        <v>8000</v>
      </c>
      <c r="D95" s="87">
        <f>D5+D23+D41+D59+D77</f>
        <v>1200</v>
      </c>
      <c r="E95" s="94">
        <f t="shared" ref="E95:E105" si="146">D95%/C95*100</f>
        <v>0.15</v>
      </c>
      <c r="F95" s="95">
        <f t="shared" ref="F95:F105" si="147">C95*0.12</f>
        <v>960</v>
      </c>
      <c r="G95" s="96">
        <f t="shared" ref="G95:G105" si="148">C95-D95</f>
        <v>6800</v>
      </c>
      <c r="H95" s="94">
        <f t="shared" ref="H95:H105" si="149">I95%/C95*100</f>
        <v>0.3</v>
      </c>
      <c r="I95" s="97">
        <f t="shared" ref="I95:I99" si="150">SUM(K95+Q95+X95)</f>
        <v>2400</v>
      </c>
      <c r="J95" s="87">
        <f>J5+J23+J41+J59+J77</f>
        <v>400</v>
      </c>
      <c r="K95" s="87">
        <f>K5+K23+K41+K59+K77</f>
        <v>800</v>
      </c>
      <c r="L95" s="87">
        <f>L5+L23+L41+L59+L77</f>
        <v>80</v>
      </c>
      <c r="M95" s="87">
        <f>M5+M23+M41+M59+M77</f>
        <v>20</v>
      </c>
      <c r="N95" s="97">
        <f t="shared" ref="N95:N105" si="151">K95-L95-M95</f>
        <v>700</v>
      </c>
      <c r="O95" s="97">
        <v>0</v>
      </c>
      <c r="P95" s="98"/>
      <c r="Q95" s="87">
        <f>Q5+Q23+Q41+Q59+Q77</f>
        <v>800</v>
      </c>
      <c r="R95" s="87">
        <f>R5+R23+R41+R59+R77</f>
        <v>80</v>
      </c>
      <c r="S95" s="87">
        <f>S23+S41+S59+S77</f>
        <v>15</v>
      </c>
      <c r="T95" s="87">
        <f>T23+T41+T59+T77</f>
        <v>525</v>
      </c>
      <c r="U95" s="97">
        <v>0</v>
      </c>
      <c r="V95" s="97"/>
      <c r="W95" s="99">
        <v>0</v>
      </c>
      <c r="X95" s="87">
        <f>X5+X23+X41+X59+X77</f>
        <v>800</v>
      </c>
      <c r="Y95" s="87">
        <f>Y5+Y23+Y41+Y59+Y77</f>
        <v>80</v>
      </c>
      <c r="Z95" s="87">
        <f>Z5+Z23+Z41+Z59+Z77</f>
        <v>20</v>
      </c>
      <c r="AA95" s="97">
        <f t="shared" ref="AA95:AA105" si="152">X95-Y95-Z95</f>
        <v>700</v>
      </c>
      <c r="AB95" s="97">
        <v>0</v>
      </c>
      <c r="AC95" s="97"/>
      <c r="AD95" s="97">
        <f t="shared" ref="AD95:AD105" si="153">SUM(L95+R95+Y95)</f>
        <v>240</v>
      </c>
      <c r="AE95" s="100">
        <f t="shared" ref="AE95:AE99" si="154">AD95%/G95*100</f>
        <v>3.5294117647058823E-2</v>
      </c>
      <c r="AF95" s="87">
        <f>AF5+AF23+AF41+AF59+AF77</f>
        <v>140</v>
      </c>
      <c r="AG95" s="97">
        <f t="shared" ref="AG95:AG105" si="155">AVERAGE(AF95*10.5)</f>
        <v>1470</v>
      </c>
      <c r="AH95" s="100">
        <f t="shared" ref="AH95:AH105" si="156">AG95%/G95*100</f>
        <v>0.2161764705882353</v>
      </c>
      <c r="AI95" s="87">
        <f>AI5+AI23+AI41+AI59+AI77</f>
        <v>1600</v>
      </c>
      <c r="AJ95" s="101">
        <f t="shared" ref="AJ95:AJ105" si="157">AI95%/G95*100</f>
        <v>0.23529411764705879</v>
      </c>
      <c r="AK95" s="102">
        <f t="shared" ref="AK95:AK105" si="158">SUM(AE95+AH95+AJ95)</f>
        <v>0.48676470588235288</v>
      </c>
      <c r="AL95" s="103">
        <f>AVERAGE(AL5,AL23,AL41,AL59,AL77)</f>
        <v>0.2016</v>
      </c>
      <c r="AM95" s="103">
        <f>AVERAGE(AM5,AM23,AM41,AM59,AM77)</f>
        <v>0.20800000000000002</v>
      </c>
      <c r="AN95" s="44">
        <f>AN77+AO95</f>
        <v>1500</v>
      </c>
      <c r="AO95" s="44">
        <v>0</v>
      </c>
      <c r="AP95" s="71"/>
      <c r="AQ95" s="71"/>
    </row>
    <row r="96" spans="1:43" ht="19.5" customHeight="1" thickBot="1">
      <c r="A96" s="80"/>
      <c r="B96" s="93" t="s">
        <v>36</v>
      </c>
      <c r="C96" s="87">
        <f>C6+C24+C42+C60+C78</f>
        <v>8000</v>
      </c>
      <c r="D96" s="87">
        <f>D6+D24+D42+D60+D78</f>
        <v>1200</v>
      </c>
      <c r="E96" s="94">
        <f t="shared" si="146"/>
        <v>0.15</v>
      </c>
      <c r="F96" s="95">
        <f t="shared" si="147"/>
        <v>960</v>
      </c>
      <c r="G96" s="96">
        <f t="shared" si="148"/>
        <v>6800</v>
      </c>
      <c r="H96" s="94">
        <f t="shared" si="149"/>
        <v>0.3</v>
      </c>
      <c r="I96" s="97">
        <f t="shared" si="150"/>
        <v>2400</v>
      </c>
      <c r="J96" s="87">
        <f>J6+J24+J42+J60+J78</f>
        <v>400</v>
      </c>
      <c r="K96" s="87">
        <f>K6+K24+K42+K60+K78</f>
        <v>800</v>
      </c>
      <c r="L96" s="87">
        <f>L6+L24+L42+L60+L78</f>
        <v>80</v>
      </c>
      <c r="M96" s="87">
        <f>M6+M24+M42+M60+M78</f>
        <v>20</v>
      </c>
      <c r="N96" s="97">
        <f t="shared" si="151"/>
        <v>700</v>
      </c>
      <c r="O96" s="97">
        <v>0</v>
      </c>
      <c r="P96" s="98"/>
      <c r="Q96" s="87">
        <f>Q6+Q24+Q42+Q60+Q78</f>
        <v>800</v>
      </c>
      <c r="R96" s="87">
        <f>R6+R24+R42+R60+R78</f>
        <v>80</v>
      </c>
      <c r="S96" s="87">
        <f>S24+S42+S60+S78</f>
        <v>15</v>
      </c>
      <c r="T96" s="87">
        <f>T24+T42+T60+T78</f>
        <v>525</v>
      </c>
      <c r="U96" s="97">
        <v>0</v>
      </c>
      <c r="V96" s="97"/>
      <c r="W96" s="99">
        <v>0</v>
      </c>
      <c r="X96" s="87">
        <f>X6+X24+X42+X60+X78</f>
        <v>800</v>
      </c>
      <c r="Y96" s="87">
        <f>Y6+Y24+Y42+Y60+Y78</f>
        <v>80</v>
      </c>
      <c r="Z96" s="87">
        <f>Z6+Z24+Z42+Z60+Z78</f>
        <v>20</v>
      </c>
      <c r="AA96" s="97">
        <f t="shared" si="152"/>
        <v>700</v>
      </c>
      <c r="AB96" s="97">
        <v>0</v>
      </c>
      <c r="AC96" s="97"/>
      <c r="AD96" s="97">
        <f t="shared" si="153"/>
        <v>240</v>
      </c>
      <c r="AE96" s="100">
        <f t="shared" si="154"/>
        <v>3.5294117647058823E-2</v>
      </c>
      <c r="AF96" s="87">
        <f>AF6+AF24+AF42+AF60+AF78</f>
        <v>140</v>
      </c>
      <c r="AG96" s="97">
        <f t="shared" si="155"/>
        <v>1470</v>
      </c>
      <c r="AH96" s="100">
        <f t="shared" si="156"/>
        <v>0.2161764705882353</v>
      </c>
      <c r="AI96" s="87">
        <f>AI6+AI24+AI42+AI60+AI78</f>
        <v>1600</v>
      </c>
      <c r="AJ96" s="101">
        <f t="shared" si="157"/>
        <v>0.23529411764705879</v>
      </c>
      <c r="AK96" s="102">
        <f t="shared" si="158"/>
        <v>0.48676470588235288</v>
      </c>
      <c r="AL96" s="103">
        <f>AVERAGE(AL6,AL24,AL42,AL60,AL78)</f>
        <v>0.21280000000000002</v>
      </c>
      <c r="AM96" s="103">
        <f>AVERAGE(AM6,AM24,AM42,AM60,AM78)</f>
        <v>0.184</v>
      </c>
      <c r="AN96" s="44">
        <f>AN78+AO96</f>
        <v>1500</v>
      </c>
      <c r="AO96" s="44">
        <v>0</v>
      </c>
      <c r="AP96" s="71"/>
      <c r="AQ96" s="71"/>
    </row>
    <row r="97" spans="1:43" ht="19.5" customHeight="1" thickBot="1">
      <c r="A97" s="80"/>
      <c r="B97" s="93" t="s">
        <v>37</v>
      </c>
      <c r="C97" s="87">
        <f>C7+C25+C43+C61+C79</f>
        <v>8000</v>
      </c>
      <c r="D97" s="87">
        <f>D7+D25+D43+D61+D79</f>
        <v>1200</v>
      </c>
      <c r="E97" s="94">
        <f t="shared" si="146"/>
        <v>0.15</v>
      </c>
      <c r="F97" s="95">
        <f t="shared" si="147"/>
        <v>960</v>
      </c>
      <c r="G97" s="96">
        <f t="shared" si="148"/>
        <v>6800</v>
      </c>
      <c r="H97" s="94">
        <f t="shared" si="149"/>
        <v>0.3</v>
      </c>
      <c r="I97" s="97">
        <f t="shared" si="150"/>
        <v>2400</v>
      </c>
      <c r="J97" s="87">
        <f>J7+J25+J43+J61+J79</f>
        <v>400</v>
      </c>
      <c r="K97" s="87">
        <f>K7+K25+K43+K61+K79</f>
        <v>800</v>
      </c>
      <c r="L97" s="87">
        <f>L7+L25+L43+L61+L79</f>
        <v>80</v>
      </c>
      <c r="M97" s="87">
        <f>M7+M25+M43+M61+M79</f>
        <v>20</v>
      </c>
      <c r="N97" s="97">
        <f t="shared" si="151"/>
        <v>700</v>
      </c>
      <c r="O97" s="97">
        <v>0</v>
      </c>
      <c r="P97" s="98"/>
      <c r="Q97" s="87">
        <f>Q7+Q25+Q43+Q61+Q79</f>
        <v>800</v>
      </c>
      <c r="R97" s="87">
        <f>R7+R25+R43+R61+R79</f>
        <v>80</v>
      </c>
      <c r="S97" s="87">
        <f>S25+S43+S61+S79</f>
        <v>15</v>
      </c>
      <c r="T97" s="87">
        <f>T25+T43+T61+T79</f>
        <v>525</v>
      </c>
      <c r="U97" s="97">
        <v>0</v>
      </c>
      <c r="V97" s="97"/>
      <c r="W97" s="99">
        <v>0</v>
      </c>
      <c r="X97" s="87">
        <f>X7+X25+X43+X61+X79</f>
        <v>800</v>
      </c>
      <c r="Y97" s="87">
        <f>Y7+Y25+Y43+Y61+Y79</f>
        <v>80</v>
      </c>
      <c r="Z97" s="87">
        <f>Z7+Z25+Z43+Z61+Z79</f>
        <v>20</v>
      </c>
      <c r="AA97" s="97">
        <f t="shared" si="152"/>
        <v>700</v>
      </c>
      <c r="AB97" s="97">
        <v>0</v>
      </c>
      <c r="AC97" s="97"/>
      <c r="AD97" s="97">
        <f t="shared" si="153"/>
        <v>240</v>
      </c>
      <c r="AE97" s="100">
        <f t="shared" si="154"/>
        <v>3.5294117647058823E-2</v>
      </c>
      <c r="AF97" s="87">
        <f>AF7+AF25+AF43+AF61+AF79</f>
        <v>140</v>
      </c>
      <c r="AG97" s="97">
        <f t="shared" si="155"/>
        <v>1470</v>
      </c>
      <c r="AH97" s="100">
        <f t="shared" si="156"/>
        <v>0.2161764705882353</v>
      </c>
      <c r="AI97" s="87">
        <f>AI7+AI25+AI43+AI61+AI79</f>
        <v>1600</v>
      </c>
      <c r="AJ97" s="101">
        <f t="shared" si="157"/>
        <v>0.23529411764705879</v>
      </c>
      <c r="AK97" s="102">
        <f t="shared" si="158"/>
        <v>0.48676470588235288</v>
      </c>
      <c r="AL97" s="103">
        <f>AVERAGE(AL7,AL25,AL43,AL61,AL79)</f>
        <v>0.15840000000000001</v>
      </c>
      <c r="AM97" s="103">
        <f>AVERAGE(AM7,AM25,AM43,AM61,AM79)</f>
        <v>0.21600000000000003</v>
      </c>
      <c r="AN97" s="44">
        <f>AN79+AO97</f>
        <v>1500</v>
      </c>
      <c r="AO97" s="44">
        <v>0</v>
      </c>
      <c r="AP97" s="71"/>
      <c r="AQ97" s="71"/>
    </row>
    <row r="98" spans="1:43" ht="16" thickBot="1">
      <c r="A98" s="80"/>
      <c r="B98" s="93" t="s">
        <v>38</v>
      </c>
      <c r="C98" s="87">
        <f>C8+C26+C44+C62+C80</f>
        <v>8000</v>
      </c>
      <c r="D98" s="87">
        <f>D8+D26+D44+D62+D80</f>
        <v>1200</v>
      </c>
      <c r="E98" s="94">
        <f t="shared" si="146"/>
        <v>0.15</v>
      </c>
      <c r="F98" s="95">
        <f t="shared" si="147"/>
        <v>960</v>
      </c>
      <c r="G98" s="96">
        <f t="shared" si="148"/>
        <v>6800</v>
      </c>
      <c r="H98" s="94">
        <f t="shared" si="149"/>
        <v>0.3</v>
      </c>
      <c r="I98" s="97">
        <f t="shared" si="150"/>
        <v>2400</v>
      </c>
      <c r="J98" s="87">
        <f>J8+J26+J44+J62+J80</f>
        <v>400</v>
      </c>
      <c r="K98" s="87">
        <f>K8+K26+K44+K62+K80</f>
        <v>800</v>
      </c>
      <c r="L98" s="87">
        <f>L8+L26+L44+L62+L80</f>
        <v>80</v>
      </c>
      <c r="M98" s="87">
        <f>M8+M26+M44+M62+M80</f>
        <v>20</v>
      </c>
      <c r="N98" s="97">
        <f t="shared" si="151"/>
        <v>700</v>
      </c>
      <c r="O98" s="97">
        <v>0</v>
      </c>
      <c r="P98" s="98"/>
      <c r="Q98" s="87">
        <f>Q8+Q26+Q44+Q62+Q80</f>
        <v>800</v>
      </c>
      <c r="R98" s="87">
        <f>R8+R26+R44+R62+R80</f>
        <v>80</v>
      </c>
      <c r="S98" s="87">
        <f>S26+S44+S62+S80</f>
        <v>15</v>
      </c>
      <c r="T98" s="87">
        <f>T26+T44+T62+T80</f>
        <v>525</v>
      </c>
      <c r="U98" s="97">
        <v>0</v>
      </c>
      <c r="V98" s="97"/>
      <c r="W98" s="99">
        <v>0</v>
      </c>
      <c r="X98" s="87">
        <f>X8+X26+X44+X62+X80</f>
        <v>800</v>
      </c>
      <c r="Y98" s="87">
        <f>Y8+Y26+Y44+Y62+Y80</f>
        <v>80</v>
      </c>
      <c r="Z98" s="87">
        <f>Z8+Z26+Z44+Z62+Z80</f>
        <v>20</v>
      </c>
      <c r="AA98" s="97">
        <f t="shared" si="152"/>
        <v>700</v>
      </c>
      <c r="AB98" s="97">
        <v>0</v>
      </c>
      <c r="AC98" s="97"/>
      <c r="AD98" s="97">
        <f t="shared" si="153"/>
        <v>240</v>
      </c>
      <c r="AE98" s="100">
        <f t="shared" si="154"/>
        <v>3.5294117647058823E-2</v>
      </c>
      <c r="AF98" s="87">
        <f>AF8+AF26+AF44+AF62+AF80</f>
        <v>140</v>
      </c>
      <c r="AG98" s="97">
        <f t="shared" si="155"/>
        <v>1470</v>
      </c>
      <c r="AH98" s="100">
        <f t="shared" si="156"/>
        <v>0.2161764705882353</v>
      </c>
      <c r="AI98" s="87">
        <f>AI8+AI26+AI44+AI62+AI80</f>
        <v>1600</v>
      </c>
      <c r="AJ98" s="101">
        <f t="shared" si="157"/>
        <v>0.23529411764705879</v>
      </c>
      <c r="AK98" s="102">
        <f t="shared" si="158"/>
        <v>0.48676470588235288</v>
      </c>
      <c r="AL98" s="103">
        <f>AVERAGE(AL8,AL26,AL44,AL62,AL80)</f>
        <v>0.192</v>
      </c>
      <c r="AM98" s="103">
        <f>AVERAGE(AM8,AM26,AM44,AM62,AM80)</f>
        <v>0.17599999999999999</v>
      </c>
      <c r="AN98" s="44">
        <f>AN80+AO98</f>
        <v>1500</v>
      </c>
      <c r="AO98" s="44">
        <v>0</v>
      </c>
      <c r="AP98" s="71"/>
      <c r="AQ98" s="71"/>
    </row>
    <row r="99" spans="1:43" ht="16" thickBot="1">
      <c r="A99" s="80"/>
      <c r="B99" s="93" t="s">
        <v>39</v>
      </c>
      <c r="C99" s="87">
        <f>C9+C27+C45+C63+C81</f>
        <v>8000</v>
      </c>
      <c r="D99" s="87">
        <f>D9+D27+D45+D63+D81</f>
        <v>1200</v>
      </c>
      <c r="E99" s="94">
        <f t="shared" si="146"/>
        <v>0.15</v>
      </c>
      <c r="F99" s="95">
        <f t="shared" si="147"/>
        <v>960</v>
      </c>
      <c r="G99" s="96">
        <f t="shared" si="148"/>
        <v>6800</v>
      </c>
      <c r="H99" s="94">
        <f t="shared" si="149"/>
        <v>0.3</v>
      </c>
      <c r="I99" s="97">
        <f t="shared" si="150"/>
        <v>2400</v>
      </c>
      <c r="J99" s="87">
        <f>J9+J27+J45+J63+J81</f>
        <v>400</v>
      </c>
      <c r="K99" s="87">
        <f>K9+K27+K45+K63+K81</f>
        <v>800</v>
      </c>
      <c r="L99" s="87">
        <f>L9+L27+L45+L63+L81</f>
        <v>80</v>
      </c>
      <c r="M99" s="87">
        <f>M9+M27+M45+M63+M81</f>
        <v>20</v>
      </c>
      <c r="N99" s="97">
        <f t="shared" si="151"/>
        <v>700</v>
      </c>
      <c r="O99" s="97">
        <v>0</v>
      </c>
      <c r="P99" s="98"/>
      <c r="Q99" s="87">
        <f>Q9+Q27+Q45+Q63+Q81</f>
        <v>800</v>
      </c>
      <c r="R99" s="87">
        <f>R9+R27+R45+R63+R81</f>
        <v>80</v>
      </c>
      <c r="S99" s="87">
        <f>S27+S45+S63+S81</f>
        <v>15</v>
      </c>
      <c r="T99" s="87">
        <f>T27+T45+T63+T81</f>
        <v>525</v>
      </c>
      <c r="U99" s="97">
        <v>0</v>
      </c>
      <c r="V99" s="104"/>
      <c r="W99" s="105">
        <v>0</v>
      </c>
      <c r="X99" s="87">
        <f>X9+X27+X45+X63+X81</f>
        <v>800</v>
      </c>
      <c r="Y99" s="87">
        <f>Y9+Y27+Y45+Y63+Y81</f>
        <v>80</v>
      </c>
      <c r="Z99" s="87">
        <f>Z9+Z27+Z45+Z63+Z81</f>
        <v>20</v>
      </c>
      <c r="AA99" s="97">
        <f t="shared" si="152"/>
        <v>700</v>
      </c>
      <c r="AB99" s="97">
        <v>0</v>
      </c>
      <c r="AC99" s="97"/>
      <c r="AD99" s="97">
        <f t="shared" si="153"/>
        <v>240</v>
      </c>
      <c r="AE99" s="100">
        <f t="shared" si="154"/>
        <v>3.5294117647058823E-2</v>
      </c>
      <c r="AF99" s="87">
        <f>AF9+AF27+AF45+AF63+AF81</f>
        <v>140</v>
      </c>
      <c r="AG99" s="97">
        <f t="shared" si="155"/>
        <v>1470</v>
      </c>
      <c r="AH99" s="100">
        <f t="shared" si="156"/>
        <v>0.2161764705882353</v>
      </c>
      <c r="AI99" s="87">
        <f>AI9+AI27+AI45+AI63+AI81</f>
        <v>1600</v>
      </c>
      <c r="AJ99" s="101">
        <f t="shared" si="157"/>
        <v>0.23529411764705879</v>
      </c>
      <c r="AK99" s="102">
        <f t="shared" si="158"/>
        <v>0.48676470588235288</v>
      </c>
      <c r="AL99" s="103">
        <f>AVERAGE(AL9,AL27,AL45,AL63,AL81)</f>
        <v>0.19439999999999999</v>
      </c>
      <c r="AM99" s="103">
        <f>AVERAGE(AM9,AM27,AM45,AM63,AM81)</f>
        <v>0.17599999999999999</v>
      </c>
      <c r="AN99" s="44">
        <f>AN81+AO99</f>
        <v>1500</v>
      </c>
      <c r="AO99" s="44">
        <v>0</v>
      </c>
      <c r="AP99" s="71"/>
      <c r="AQ99" s="71"/>
    </row>
    <row r="100" spans="1:43" ht="16" thickBot="1">
      <c r="A100" s="80"/>
      <c r="B100" s="93" t="s">
        <v>40</v>
      </c>
      <c r="C100" s="87">
        <f>C10+C28+C46+C64+C82</f>
        <v>8000</v>
      </c>
      <c r="D100" s="87">
        <f>D10+D28+D46+D64+D82</f>
        <v>1200</v>
      </c>
      <c r="E100" s="94">
        <f t="shared" si="146"/>
        <v>0.15</v>
      </c>
      <c r="F100" s="95">
        <f t="shared" si="147"/>
        <v>960</v>
      </c>
      <c r="G100" s="96">
        <f t="shared" si="148"/>
        <v>6800</v>
      </c>
      <c r="H100" s="94">
        <f t="shared" si="149"/>
        <v>0</v>
      </c>
      <c r="I100" s="97">
        <v>0</v>
      </c>
      <c r="J100" s="87">
        <f>J10+J28+J46+J64+J82</f>
        <v>400</v>
      </c>
      <c r="K100" s="87">
        <f>K10+K28+K46+K64+K82</f>
        <v>800</v>
      </c>
      <c r="L100" s="87">
        <f>L10+L28+L46+L64+L82</f>
        <v>80</v>
      </c>
      <c r="M100" s="87">
        <f>M10+M28+M46+M64+M82</f>
        <v>20</v>
      </c>
      <c r="N100" s="97">
        <f t="shared" si="151"/>
        <v>700</v>
      </c>
      <c r="O100" s="97">
        <v>0</v>
      </c>
      <c r="P100" s="98"/>
      <c r="Q100" s="87">
        <f>Q10+Q28+Q46+Q64+Q82</f>
        <v>800</v>
      </c>
      <c r="R100" s="87">
        <f>R10+R28+R46+R64+R82</f>
        <v>80</v>
      </c>
      <c r="S100" s="87">
        <f>S28+S46+S64+S82</f>
        <v>15</v>
      </c>
      <c r="T100" s="87">
        <f>T28+T46+T64+T82</f>
        <v>525</v>
      </c>
      <c r="U100" s="97">
        <v>0</v>
      </c>
      <c r="V100" s="97"/>
      <c r="W100" s="99"/>
      <c r="X100" s="87">
        <f>X10+X28+X46+X64+X82</f>
        <v>800</v>
      </c>
      <c r="Y100" s="87">
        <f>Y10+Y28+Y46+Y64+Y82</f>
        <v>80</v>
      </c>
      <c r="Z100" s="87">
        <f>Z10+Z28+Z46+Z64+Z82</f>
        <v>20</v>
      </c>
      <c r="AA100" s="97">
        <f t="shared" si="152"/>
        <v>700</v>
      </c>
      <c r="AB100" s="97">
        <v>0</v>
      </c>
      <c r="AC100" s="97"/>
      <c r="AD100" s="97">
        <f t="shared" si="153"/>
        <v>240</v>
      </c>
      <c r="AE100" s="100"/>
      <c r="AF100" s="87">
        <f>AF10+AF28+AF46+AF64+AF82</f>
        <v>140</v>
      </c>
      <c r="AG100" s="97">
        <f t="shared" si="155"/>
        <v>1470</v>
      </c>
      <c r="AH100" s="100">
        <f t="shared" si="156"/>
        <v>0.2161764705882353</v>
      </c>
      <c r="AI100" s="87">
        <f>AI10+AI28+AI46+AI64+AI82</f>
        <v>1600</v>
      </c>
      <c r="AJ100" s="101">
        <f t="shared" si="157"/>
        <v>0.23529411764705879</v>
      </c>
      <c r="AK100" s="102">
        <f t="shared" si="158"/>
        <v>0.45147058823529407</v>
      </c>
      <c r="AL100" s="103">
        <f>AVERAGE(AL10,AL28,AL46,AL64,AL82)</f>
        <v>0.13200000000000001</v>
      </c>
      <c r="AM100" s="103">
        <f>AVERAGE(AM10,AM28,AM46,AM64,AM82)</f>
        <v>0.11200000000000002</v>
      </c>
      <c r="AN100" s="44">
        <f>AN82+AO100</f>
        <v>1500</v>
      </c>
      <c r="AO100" s="44">
        <v>0</v>
      </c>
      <c r="AP100" s="71"/>
      <c r="AQ100" s="71"/>
    </row>
    <row r="101" spans="1:43" ht="16" thickBot="1">
      <c r="A101" s="80"/>
      <c r="B101" s="93" t="s">
        <v>41</v>
      </c>
      <c r="C101" s="87">
        <f>C11+C29+C47+C65+C83</f>
        <v>8000</v>
      </c>
      <c r="D101" s="87">
        <f>D11+D29+D47+D65+D83</f>
        <v>1200</v>
      </c>
      <c r="E101" s="94">
        <f t="shared" si="146"/>
        <v>0.15</v>
      </c>
      <c r="F101" s="95">
        <f t="shared" si="147"/>
        <v>960</v>
      </c>
      <c r="G101" s="96">
        <f t="shared" si="148"/>
        <v>6800</v>
      </c>
      <c r="H101" s="94">
        <f t="shared" si="149"/>
        <v>0.3</v>
      </c>
      <c r="I101" s="97">
        <f t="shared" ref="I101:I105" si="159">SUM(K101+Q101+X101)</f>
        <v>2400</v>
      </c>
      <c r="J101" s="87">
        <f>J11+J29+J47+J65+J83</f>
        <v>400</v>
      </c>
      <c r="K101" s="87">
        <f>K11+K29+K47+K65+K83</f>
        <v>800</v>
      </c>
      <c r="L101" s="87">
        <f>L11+L29+L47+L65+L83</f>
        <v>80</v>
      </c>
      <c r="M101" s="87">
        <f>M11+M29+M47+M65+M83</f>
        <v>20</v>
      </c>
      <c r="N101" s="97">
        <f t="shared" si="151"/>
        <v>700</v>
      </c>
      <c r="O101" s="97">
        <v>0</v>
      </c>
      <c r="P101" s="98"/>
      <c r="Q101" s="87">
        <f>Q11+Q29+Q47+Q65+Q83</f>
        <v>800</v>
      </c>
      <c r="R101" s="87">
        <f>R11+R29+R47+R65+R83</f>
        <v>80</v>
      </c>
      <c r="S101" s="87">
        <f>S29+S47+S65+S83</f>
        <v>15</v>
      </c>
      <c r="T101" s="87">
        <f>T29+T47+T65+T83</f>
        <v>525</v>
      </c>
      <c r="U101" s="97">
        <v>0</v>
      </c>
      <c r="V101" s="97"/>
      <c r="W101" s="99">
        <v>0</v>
      </c>
      <c r="X101" s="87">
        <f>X11+X29+X47+X65+X83</f>
        <v>800</v>
      </c>
      <c r="Y101" s="87">
        <f>Y11+Y29+Y47+Y65+Y83</f>
        <v>80</v>
      </c>
      <c r="Z101" s="87">
        <f>Z11+Z29+Z47+Z65+Z83</f>
        <v>20</v>
      </c>
      <c r="AA101" s="97">
        <f t="shared" si="152"/>
        <v>700</v>
      </c>
      <c r="AB101" s="97">
        <v>0</v>
      </c>
      <c r="AC101" s="97"/>
      <c r="AD101" s="97">
        <f t="shared" si="153"/>
        <v>240</v>
      </c>
      <c r="AE101" s="100">
        <f t="shared" ref="AE101:AE105" si="160">AD101%/G101*100</f>
        <v>3.5294117647058823E-2</v>
      </c>
      <c r="AF101" s="87">
        <f>AF11+AF29+AF47+AF65+AF83</f>
        <v>140</v>
      </c>
      <c r="AG101" s="97">
        <f t="shared" si="155"/>
        <v>1470</v>
      </c>
      <c r="AH101" s="100">
        <f t="shared" si="156"/>
        <v>0.2161764705882353</v>
      </c>
      <c r="AI101" s="87">
        <f>AI11+AI29+AI47+AI65+AI83</f>
        <v>1600</v>
      </c>
      <c r="AJ101" s="101">
        <f t="shared" si="157"/>
        <v>0.23529411764705879</v>
      </c>
      <c r="AK101" s="102">
        <f t="shared" si="158"/>
        <v>0.48676470588235288</v>
      </c>
      <c r="AL101" s="103">
        <f>AVERAGE(AL11,AL29,AL47,AL65,AL83)</f>
        <v>0.20080000000000001</v>
      </c>
      <c r="AM101" s="103">
        <f>AVERAGE(AM11,AM29,AM47,AM65,AM83)</f>
        <v>0.184</v>
      </c>
      <c r="AN101" s="44">
        <f>AN83+AO101</f>
        <v>1500</v>
      </c>
      <c r="AO101" s="44">
        <v>0</v>
      </c>
      <c r="AP101" s="71"/>
      <c r="AQ101" s="71"/>
    </row>
    <row r="102" spans="1:43" ht="16" thickBot="1">
      <c r="A102" s="80"/>
      <c r="B102" s="93" t="s">
        <v>42</v>
      </c>
      <c r="C102" s="87">
        <f>C12+C30+C48+C66+C84</f>
        <v>8000</v>
      </c>
      <c r="D102" s="87">
        <f>D12+D30+D48+D66+D84</f>
        <v>1200</v>
      </c>
      <c r="E102" s="94">
        <f t="shared" si="146"/>
        <v>0.15</v>
      </c>
      <c r="F102" s="95">
        <f t="shared" si="147"/>
        <v>960</v>
      </c>
      <c r="G102" s="96">
        <f t="shared" si="148"/>
        <v>6800</v>
      </c>
      <c r="H102" s="94">
        <f t="shared" si="149"/>
        <v>0.3</v>
      </c>
      <c r="I102" s="97">
        <f t="shared" si="159"/>
        <v>2400</v>
      </c>
      <c r="J102" s="87">
        <f>J12+J30+J48+J66+J84</f>
        <v>400</v>
      </c>
      <c r="K102" s="87">
        <f>K12+K30+K48+K66+K84</f>
        <v>800</v>
      </c>
      <c r="L102" s="87">
        <f>L12+L30+L48+L66+L84</f>
        <v>80</v>
      </c>
      <c r="M102" s="87">
        <f>M12+M30+M48+M66+M84</f>
        <v>20</v>
      </c>
      <c r="N102" s="97">
        <f t="shared" si="151"/>
        <v>700</v>
      </c>
      <c r="O102" s="97">
        <v>0</v>
      </c>
      <c r="P102" s="98"/>
      <c r="Q102" s="87">
        <f>Q12+Q30+Q48+Q66+Q84</f>
        <v>800</v>
      </c>
      <c r="R102" s="87">
        <f>R12+R30+R48+R66+R84</f>
        <v>80</v>
      </c>
      <c r="S102" s="87">
        <f>S30+S48+S66+S84</f>
        <v>15</v>
      </c>
      <c r="T102" s="87">
        <f>T30+T48+T66+T84</f>
        <v>525</v>
      </c>
      <c r="U102" s="97">
        <v>0</v>
      </c>
      <c r="V102" s="97"/>
      <c r="W102" s="99">
        <v>0</v>
      </c>
      <c r="X102" s="87">
        <f>X12+X30+X48+X66+X84</f>
        <v>800</v>
      </c>
      <c r="Y102" s="87">
        <f>Y12+Y30+Y48+Y66+Y84</f>
        <v>80</v>
      </c>
      <c r="Z102" s="87">
        <f>Z12+Z30+Z48+Z66+Z84</f>
        <v>20</v>
      </c>
      <c r="AA102" s="97">
        <f t="shared" si="152"/>
        <v>700</v>
      </c>
      <c r="AB102" s="97">
        <v>0</v>
      </c>
      <c r="AC102" s="97"/>
      <c r="AD102" s="97">
        <f t="shared" si="153"/>
        <v>240</v>
      </c>
      <c r="AE102" s="100">
        <f t="shared" si="160"/>
        <v>3.5294117647058823E-2</v>
      </c>
      <c r="AF102" s="87">
        <f>AF12+AF30+AF48+AF66+AF84</f>
        <v>140</v>
      </c>
      <c r="AG102" s="97">
        <f t="shared" si="155"/>
        <v>1470</v>
      </c>
      <c r="AH102" s="100">
        <f t="shared" si="156"/>
        <v>0.2161764705882353</v>
      </c>
      <c r="AI102" s="87">
        <f>AI12+AI30+AI48+AI66+AI84</f>
        <v>1600</v>
      </c>
      <c r="AJ102" s="101">
        <f t="shared" si="157"/>
        <v>0.23529411764705879</v>
      </c>
      <c r="AK102" s="102">
        <f t="shared" si="158"/>
        <v>0.48676470588235288</v>
      </c>
      <c r="AL102" s="103">
        <f>AVERAGE(AL12,AL30,AL48,AL66,AL84)</f>
        <v>0.21600000000000003</v>
      </c>
      <c r="AM102" s="103">
        <f>AVERAGE(AM12,AM30,AM48,AM66,AM84)</f>
        <v>0.184</v>
      </c>
      <c r="AN102" s="44">
        <f>AN84+AO102</f>
        <v>1500</v>
      </c>
      <c r="AO102" s="44">
        <v>0</v>
      </c>
      <c r="AP102" s="71"/>
      <c r="AQ102" s="71"/>
    </row>
    <row r="103" spans="1:43" ht="16" thickBot="1">
      <c r="A103" s="80"/>
      <c r="B103" s="93" t="s">
        <v>137</v>
      </c>
      <c r="C103" s="87">
        <f>C13+C31+C49+C67+C85</f>
        <v>8000</v>
      </c>
      <c r="D103" s="87">
        <f>D13+D31+D49+D67+D85</f>
        <v>1200</v>
      </c>
      <c r="E103" s="94">
        <f t="shared" ref="E103" si="161">D103%/C103*100</f>
        <v>0.15</v>
      </c>
      <c r="F103" s="95">
        <f t="shared" ref="F103" si="162">C103*0.12</f>
        <v>960</v>
      </c>
      <c r="G103" s="96">
        <f t="shared" ref="G103" si="163">C103-D103</f>
        <v>6800</v>
      </c>
      <c r="H103" s="94">
        <f t="shared" ref="H103" si="164">I103%/C103*100</f>
        <v>0.3</v>
      </c>
      <c r="I103" s="97">
        <f t="shared" si="159"/>
        <v>2400</v>
      </c>
      <c r="J103" s="87">
        <f>J13+J31+J49+J67+J85</f>
        <v>400</v>
      </c>
      <c r="K103" s="87">
        <f>K13+K31+K49+K67+K85</f>
        <v>800</v>
      </c>
      <c r="L103" s="87">
        <f>L13+L31+L49+L67+L85</f>
        <v>80</v>
      </c>
      <c r="M103" s="87">
        <f>M13+M31+M49+M67+M85</f>
        <v>20</v>
      </c>
      <c r="N103" s="97">
        <f t="shared" ref="N103" si="165">K103-L103-M103</f>
        <v>700</v>
      </c>
      <c r="O103" s="97">
        <v>0</v>
      </c>
      <c r="P103" s="98"/>
      <c r="Q103" s="87">
        <f>Q13+Q31+Q49+Q67+Q85</f>
        <v>800</v>
      </c>
      <c r="R103" s="87">
        <f>R13+R31+R49+R67+R85</f>
        <v>80</v>
      </c>
      <c r="S103" s="87">
        <f>S31+S49+S67+S85</f>
        <v>15</v>
      </c>
      <c r="T103" s="87">
        <f>T31+T49+T67+T85</f>
        <v>525</v>
      </c>
      <c r="U103" s="97">
        <v>0</v>
      </c>
      <c r="V103" s="97"/>
      <c r="W103" s="99">
        <v>0</v>
      </c>
      <c r="X103" s="87">
        <f>X13+X31+X49+X67+X85</f>
        <v>800</v>
      </c>
      <c r="Y103" s="87">
        <f>Y13+Y31+Y49+Y67+Y85</f>
        <v>80</v>
      </c>
      <c r="Z103" s="87">
        <f>Z13+Z31+Z49+Z67+Z85</f>
        <v>20</v>
      </c>
      <c r="AA103" s="97">
        <f t="shared" ref="AA103" si="166">X103-Y103-Z103</f>
        <v>700</v>
      </c>
      <c r="AB103" s="97">
        <v>0</v>
      </c>
      <c r="AC103" s="97"/>
      <c r="AD103" s="97">
        <f t="shared" ref="AD103" si="167">SUM(L103+R103+Y103)</f>
        <v>240</v>
      </c>
      <c r="AE103" s="100">
        <f t="shared" si="160"/>
        <v>3.5294117647058823E-2</v>
      </c>
      <c r="AF103" s="87">
        <f>AF13+AF31+AF49+AF67+AF85</f>
        <v>140</v>
      </c>
      <c r="AG103" s="97">
        <f t="shared" ref="AG103" si="168">AVERAGE(AF103*10.5)</f>
        <v>1470</v>
      </c>
      <c r="AH103" s="100">
        <f t="shared" ref="AH103" si="169">AG103%/G103*100</f>
        <v>0.2161764705882353</v>
      </c>
      <c r="AI103" s="87">
        <f>AI13+AI31+AI49+AI67+AI85</f>
        <v>1600</v>
      </c>
      <c r="AJ103" s="101">
        <f t="shared" ref="AJ103" si="170">AI103%/G103*100</f>
        <v>0.23529411764705879</v>
      </c>
      <c r="AK103" s="102">
        <f t="shared" ref="AK103" si="171">SUM(AE103+AH103+AJ103)</f>
        <v>0.48676470588235288</v>
      </c>
      <c r="AL103" s="103">
        <f>AVERAGE(AL13,AL31,AL49,AL67,AL85)</f>
        <v>0.252</v>
      </c>
      <c r="AM103" s="103">
        <f>AVERAGE(AM13,AM31,AM49,AM67,AM85)</f>
        <v>0.26</v>
      </c>
      <c r="AN103" s="44">
        <f>AN85+AO103</f>
        <v>0</v>
      </c>
      <c r="AO103" s="44">
        <v>0</v>
      </c>
      <c r="AP103" s="71"/>
      <c r="AQ103" s="71"/>
    </row>
    <row r="104" spans="1:43" ht="16" thickBot="1">
      <c r="A104" s="80"/>
      <c r="B104" s="93" t="s">
        <v>43</v>
      </c>
      <c r="C104" s="87">
        <f>C14+C32+C50+C68+C86</f>
        <v>8000</v>
      </c>
      <c r="D104" s="87">
        <f>D14+D32+D50+D68+D86</f>
        <v>1200</v>
      </c>
      <c r="E104" s="94">
        <f t="shared" si="146"/>
        <v>0.15</v>
      </c>
      <c r="F104" s="95">
        <f t="shared" si="147"/>
        <v>960</v>
      </c>
      <c r="G104" s="96">
        <f t="shared" si="148"/>
        <v>6800</v>
      </c>
      <c r="H104" s="94">
        <f t="shared" si="149"/>
        <v>0.3</v>
      </c>
      <c r="I104" s="97">
        <f t="shared" si="159"/>
        <v>2400</v>
      </c>
      <c r="J104" s="87">
        <f>J14+J32+J50+J68+J86</f>
        <v>400</v>
      </c>
      <c r="K104" s="87">
        <f>K14+K32+K50+K68+K86</f>
        <v>800</v>
      </c>
      <c r="L104" s="87">
        <f>L14+L32+L50+L68+L86</f>
        <v>80</v>
      </c>
      <c r="M104" s="87">
        <f>M14+M32+M50+M68+M86</f>
        <v>20</v>
      </c>
      <c r="N104" s="97">
        <f t="shared" si="151"/>
        <v>700</v>
      </c>
      <c r="O104" s="97">
        <v>0</v>
      </c>
      <c r="P104" s="98"/>
      <c r="Q104" s="87">
        <f>Q14+Q32+Q50+Q68+Q86</f>
        <v>800</v>
      </c>
      <c r="R104" s="87">
        <f>R14+R32+R50+R68+R86</f>
        <v>80</v>
      </c>
      <c r="S104" s="87">
        <f>S32+S50+S68+S86</f>
        <v>15</v>
      </c>
      <c r="T104" s="87">
        <f>T32+T50+T68+T86</f>
        <v>525</v>
      </c>
      <c r="U104" s="97">
        <v>0</v>
      </c>
      <c r="V104" s="97"/>
      <c r="W104" s="99">
        <v>0</v>
      </c>
      <c r="X104" s="87">
        <f>X14+X32+X50+X68+X86</f>
        <v>800</v>
      </c>
      <c r="Y104" s="87">
        <f>Y14+Y32+Y50+Y68+Y86</f>
        <v>80</v>
      </c>
      <c r="Z104" s="87">
        <f>Z14+Z32+Z50+Z68+Z86</f>
        <v>20</v>
      </c>
      <c r="AA104" s="97">
        <f t="shared" si="152"/>
        <v>700</v>
      </c>
      <c r="AB104" s="97">
        <v>0</v>
      </c>
      <c r="AC104" s="97"/>
      <c r="AD104" s="97">
        <f t="shared" si="153"/>
        <v>240</v>
      </c>
      <c r="AE104" s="100">
        <f t="shared" si="160"/>
        <v>3.5294117647058823E-2</v>
      </c>
      <c r="AF104" s="87">
        <f>AF14+AF32+AF50+AF68+AF86</f>
        <v>140</v>
      </c>
      <c r="AG104" s="97">
        <f t="shared" si="155"/>
        <v>1470</v>
      </c>
      <c r="AH104" s="100">
        <f t="shared" si="156"/>
        <v>0.2161764705882353</v>
      </c>
      <c r="AI104" s="87">
        <f>AI14+AI32+AI50+AI68+AI86</f>
        <v>1600</v>
      </c>
      <c r="AJ104" s="101">
        <f t="shared" si="157"/>
        <v>0.23529411764705879</v>
      </c>
      <c r="AK104" s="102">
        <f t="shared" si="158"/>
        <v>0.48676470588235288</v>
      </c>
      <c r="AL104" s="103">
        <f>AVERAGE(AL14,AL32,AL50,AL68,AL86)</f>
        <v>0.23359999999999997</v>
      </c>
      <c r="AM104" s="103">
        <f>AVERAGE(AM14,AM32,AM50,AM68,AM86)</f>
        <v>0.23199999999999998</v>
      </c>
      <c r="AN104" s="44">
        <f>AN86+AO104</f>
        <v>1500</v>
      </c>
      <c r="AO104" s="44">
        <v>0</v>
      </c>
      <c r="AP104" s="71"/>
      <c r="AQ104" s="71"/>
    </row>
    <row r="105" spans="1:43" ht="16" thickBot="1">
      <c r="A105" s="80"/>
      <c r="B105" s="93" t="s">
        <v>44</v>
      </c>
      <c r="C105" s="87">
        <f>C15+C33+C51+C69+C87</f>
        <v>8000</v>
      </c>
      <c r="D105" s="87">
        <f>D15+D33+D51+D69+D87</f>
        <v>1200</v>
      </c>
      <c r="E105" s="94">
        <f t="shared" si="146"/>
        <v>0.15</v>
      </c>
      <c r="F105" s="95">
        <f t="shared" si="147"/>
        <v>960</v>
      </c>
      <c r="G105" s="96">
        <f t="shared" si="148"/>
        <v>6800</v>
      </c>
      <c r="H105" s="94">
        <f t="shared" si="149"/>
        <v>0.3</v>
      </c>
      <c r="I105" s="97">
        <f t="shared" si="159"/>
        <v>2400</v>
      </c>
      <c r="J105" s="87">
        <f>J15+J33+J51+J69+J87</f>
        <v>400</v>
      </c>
      <c r="K105" s="87">
        <f>K15+K33+K51+K69+K87</f>
        <v>800</v>
      </c>
      <c r="L105" s="87">
        <f>L15+L33+L51+L69+L87</f>
        <v>80</v>
      </c>
      <c r="M105" s="87">
        <f>M15+M33+M51+M69+M87</f>
        <v>20</v>
      </c>
      <c r="N105" s="97">
        <f t="shared" si="151"/>
        <v>700</v>
      </c>
      <c r="O105" s="97">
        <v>0</v>
      </c>
      <c r="P105" s="98"/>
      <c r="Q105" s="87">
        <f>Q15+Q33+Q51+Q69+Q87</f>
        <v>800</v>
      </c>
      <c r="R105" s="87">
        <f>R15+R33+R51+R69+R87</f>
        <v>80</v>
      </c>
      <c r="S105" s="87">
        <f>S33+S51+S69+S87</f>
        <v>15</v>
      </c>
      <c r="T105" s="87">
        <f>T33+T51+T69+T87</f>
        <v>525</v>
      </c>
      <c r="U105" s="97">
        <v>0</v>
      </c>
      <c r="V105" s="97"/>
      <c r="W105" s="99">
        <v>0</v>
      </c>
      <c r="X105" s="87">
        <f>X15+X33+X51+X69+X87</f>
        <v>800</v>
      </c>
      <c r="Y105" s="87">
        <f>Y15+Y33+Y51+Y69+Y87</f>
        <v>80</v>
      </c>
      <c r="Z105" s="87">
        <f>Z15+Z33+Z51+Z69+Z87</f>
        <v>20</v>
      </c>
      <c r="AA105" s="97">
        <f t="shared" si="152"/>
        <v>700</v>
      </c>
      <c r="AB105" s="97">
        <v>0</v>
      </c>
      <c r="AC105" s="97"/>
      <c r="AD105" s="97">
        <f t="shared" si="153"/>
        <v>240</v>
      </c>
      <c r="AE105" s="100">
        <f t="shared" si="160"/>
        <v>3.5294117647058823E-2</v>
      </c>
      <c r="AF105" s="87">
        <f>AF15+AF33+AF51+AF69+AF87</f>
        <v>140</v>
      </c>
      <c r="AG105" s="97">
        <f t="shared" si="155"/>
        <v>1470</v>
      </c>
      <c r="AH105" s="100">
        <f t="shared" si="156"/>
        <v>0.2161764705882353</v>
      </c>
      <c r="AI105" s="87">
        <f>AI15+AI33+AI51+AI69+AI87</f>
        <v>1600</v>
      </c>
      <c r="AJ105" s="101">
        <f t="shared" si="157"/>
        <v>0.23529411764705879</v>
      </c>
      <c r="AK105" s="102">
        <f t="shared" si="158"/>
        <v>0.48676470588235288</v>
      </c>
      <c r="AL105" s="103">
        <f>AVERAGE(AL15,AL33,AL51,AL69,AL87)</f>
        <v>0.1784</v>
      </c>
      <c r="AM105" s="103">
        <f>AVERAGE(AM15,AM33,AM51,AM69,AM87)</f>
        <v>0.20800000000000002</v>
      </c>
      <c r="AN105" s="44">
        <f>AN87+AO105</f>
        <v>1500</v>
      </c>
      <c r="AO105" s="44">
        <v>0</v>
      </c>
      <c r="AP105" s="71"/>
      <c r="AQ105" s="71"/>
    </row>
    <row r="106" spans="1:43" ht="15.5">
      <c r="A106" s="80"/>
      <c r="B106" s="93"/>
      <c r="C106" s="87"/>
      <c r="D106" s="97"/>
      <c r="E106" s="106"/>
      <c r="F106" s="107"/>
      <c r="G106" s="96"/>
      <c r="H106" s="106"/>
      <c r="I106" s="97"/>
      <c r="J106" s="87"/>
      <c r="K106" s="87"/>
      <c r="L106" s="97"/>
      <c r="M106" s="97"/>
      <c r="N106" s="97"/>
      <c r="O106" s="97"/>
      <c r="P106" s="98"/>
      <c r="Q106" s="87"/>
      <c r="R106" s="87"/>
      <c r="S106" s="97"/>
      <c r="T106" s="97"/>
      <c r="U106" s="97"/>
      <c r="V106" s="97"/>
      <c r="W106" s="99"/>
      <c r="X106" s="108"/>
      <c r="Y106" s="97"/>
      <c r="Z106" s="97"/>
      <c r="AA106" s="97"/>
      <c r="AB106" s="97"/>
      <c r="AC106" s="97"/>
      <c r="AD106" s="97"/>
      <c r="AE106" s="100"/>
      <c r="AF106" s="109"/>
      <c r="AG106" s="97"/>
      <c r="AH106" s="100"/>
      <c r="AI106" s="108"/>
      <c r="AJ106" s="110"/>
      <c r="AK106" s="102"/>
      <c r="AL106" s="103"/>
      <c r="AM106" s="111"/>
      <c r="AP106" s="71"/>
      <c r="AQ106" s="71"/>
    </row>
    <row r="107" spans="1:43" ht="16" thickBot="1">
      <c r="A107" s="112"/>
      <c r="B107" s="113" t="s">
        <v>45</v>
      </c>
      <c r="C107" s="114">
        <f t="shared" ref="C107:D107" si="172">SUM(C95:C106)</f>
        <v>88000</v>
      </c>
      <c r="D107" s="115">
        <f t="shared" si="172"/>
        <v>13200</v>
      </c>
      <c r="E107" s="116">
        <f>D107%/C107*100</f>
        <v>0.15</v>
      </c>
      <c r="F107" s="117">
        <f t="shared" ref="F107:G107" si="173">SUM(F95:F106)</f>
        <v>10560</v>
      </c>
      <c r="G107" s="118">
        <f t="shared" si="173"/>
        <v>74800</v>
      </c>
      <c r="H107" s="116">
        <f>AVERAGE(H95:H102)</f>
        <v>0.26250000000000001</v>
      </c>
      <c r="I107" s="115">
        <f t="shared" ref="I107:L107" si="174">SUM(I95:I106)</f>
        <v>24000</v>
      </c>
      <c r="J107" s="114">
        <f t="shared" si="174"/>
        <v>4400</v>
      </c>
      <c r="K107" s="114">
        <f t="shared" si="174"/>
        <v>8800</v>
      </c>
      <c r="L107" s="115">
        <f t="shared" si="174"/>
        <v>880</v>
      </c>
      <c r="M107" s="115">
        <f t="shared" ref="M107:N107" si="175">SUM(M95:M102)</f>
        <v>160</v>
      </c>
      <c r="N107" s="115">
        <f t="shared" si="175"/>
        <v>5600</v>
      </c>
      <c r="O107" s="115">
        <f>SUM(O95:O105)</f>
        <v>0</v>
      </c>
      <c r="P107" s="115">
        <f>SUM(P95:P102)</f>
        <v>0</v>
      </c>
      <c r="Q107" s="119">
        <f t="shared" ref="Q107:R107" si="176">SUM(Q95:Q106)</f>
        <v>8800</v>
      </c>
      <c r="R107" s="115">
        <f t="shared" si="176"/>
        <v>880</v>
      </c>
      <c r="S107" s="115">
        <f t="shared" ref="S107:T107" si="177">SUM(S95:S102)</f>
        <v>120</v>
      </c>
      <c r="T107" s="115">
        <f t="shared" si="177"/>
        <v>4200</v>
      </c>
      <c r="U107" s="115">
        <f>SUM(U95:U106)</f>
        <v>0</v>
      </c>
      <c r="V107" s="115">
        <f>SUM(V95:V102)</f>
        <v>0</v>
      </c>
      <c r="W107" s="120">
        <f>AVERAGE(W95:W105)</f>
        <v>0</v>
      </c>
      <c r="X107" s="119">
        <f t="shared" ref="X107:Y107" si="178">SUM(X95:X106)</f>
        <v>8800</v>
      </c>
      <c r="Y107" s="115">
        <f t="shared" si="178"/>
        <v>880</v>
      </c>
      <c r="Z107" s="115">
        <f t="shared" ref="Z107:AA107" si="179">SUM(Z95:Z102)</f>
        <v>160</v>
      </c>
      <c r="AA107" s="115">
        <f t="shared" si="179"/>
        <v>5600</v>
      </c>
      <c r="AB107" s="115">
        <f>SUM(AB95:AB105)</f>
        <v>0</v>
      </c>
      <c r="AC107" s="115">
        <f>SUM(AC95:AC102)</f>
        <v>0</v>
      </c>
      <c r="AD107" s="115">
        <f>SUM(L107+R107+Y107)</f>
        <v>2640</v>
      </c>
      <c r="AE107" s="121">
        <f>AVERAGE(AE95:AE106)</f>
        <v>3.5294117647058816E-2</v>
      </c>
      <c r="AF107" s="119">
        <f t="shared" ref="AF107:AG107" si="180">SUM(AF95:AF106)</f>
        <v>1540</v>
      </c>
      <c r="AG107" s="115">
        <f t="shared" si="180"/>
        <v>16170</v>
      </c>
      <c r="AH107" s="121">
        <f>AG107%/G107*100</f>
        <v>0.21617647058823525</v>
      </c>
      <c r="AI107" s="119">
        <f>SUM(AI95:AI106)</f>
        <v>17600</v>
      </c>
      <c r="AJ107" s="101">
        <f>AI107%/G107*100</f>
        <v>0.23529411764705879</v>
      </c>
      <c r="AK107" s="122">
        <f>SUM(AE107+AH107+AJ107)</f>
        <v>0.48676470588235288</v>
      </c>
      <c r="AL107" s="123">
        <f t="shared" ref="AL107:AM107" si="181">AVERAGE(AL95:AL102)</f>
        <v>0.1885</v>
      </c>
      <c r="AM107" s="124">
        <f t="shared" si="181"/>
        <v>0.18</v>
      </c>
      <c r="AN107" s="44">
        <f>SUM(AN95:AN106)</f>
        <v>15000</v>
      </c>
      <c r="AO107" s="44">
        <f>SUM(AO95:AO105)</f>
        <v>0</v>
      </c>
      <c r="AP107" s="71"/>
      <c r="AQ107" s="71"/>
    </row>
    <row r="108" spans="1:43" ht="15.5">
      <c r="B108" s="64"/>
    </row>
    <row r="109" spans="1:43" ht="15.5">
      <c r="B109" s="125"/>
      <c r="C109" s="126"/>
      <c r="D109" s="126"/>
      <c r="E109" s="127"/>
      <c r="F109" s="128"/>
      <c r="G109" s="126"/>
      <c r="H109" s="127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5"/>
      <c r="X109" s="126"/>
      <c r="Y109" s="126"/>
      <c r="Z109" s="126"/>
      <c r="AA109" s="126"/>
      <c r="AB109" s="126"/>
      <c r="AC109" s="126"/>
      <c r="AD109" s="126"/>
      <c r="AE109" s="127"/>
      <c r="AF109" s="126"/>
      <c r="AG109" s="126"/>
      <c r="AH109" s="127"/>
      <c r="AI109" s="126"/>
      <c r="AJ109" s="127"/>
      <c r="AK109" s="127"/>
      <c r="AL109" s="129"/>
      <c r="AM109" s="129"/>
      <c r="AN109" s="44"/>
      <c r="AO109" s="44"/>
    </row>
    <row r="110" spans="1:43" ht="15.5">
      <c r="B110" s="125"/>
      <c r="C110" s="126"/>
      <c r="D110" s="126"/>
      <c r="E110" s="127"/>
      <c r="F110" s="128"/>
      <c r="G110" s="126"/>
      <c r="H110" s="127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5"/>
      <c r="X110" s="126"/>
      <c r="Y110" s="126"/>
      <c r="Z110" s="126"/>
      <c r="AA110" s="126"/>
      <c r="AB110" s="126"/>
      <c r="AC110" s="126"/>
      <c r="AD110" s="126"/>
      <c r="AE110" s="127"/>
      <c r="AF110" s="126"/>
      <c r="AG110" s="126"/>
      <c r="AH110" s="127"/>
      <c r="AI110" s="126"/>
      <c r="AJ110" s="127"/>
      <c r="AK110" s="127"/>
      <c r="AL110" s="129"/>
      <c r="AM110" s="129"/>
      <c r="AN110" s="44"/>
      <c r="AO110" s="44"/>
    </row>
    <row r="111" spans="1:43" ht="15.5">
      <c r="B111" s="125"/>
      <c r="C111" s="126"/>
      <c r="D111" s="126"/>
      <c r="E111" s="127"/>
      <c r="F111" s="128"/>
      <c r="G111" s="126"/>
      <c r="H111" s="127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5"/>
      <c r="X111" s="126"/>
      <c r="Y111" s="126"/>
      <c r="Z111" s="126"/>
      <c r="AA111" s="126"/>
      <c r="AB111" s="126"/>
      <c r="AC111" s="126"/>
      <c r="AD111" s="126"/>
      <c r="AE111" s="127"/>
      <c r="AF111" s="126"/>
      <c r="AG111" s="126"/>
      <c r="AH111" s="127"/>
      <c r="AI111" s="126"/>
      <c r="AJ111" s="127"/>
      <c r="AK111" s="127"/>
      <c r="AL111" s="129"/>
      <c r="AM111" s="129"/>
      <c r="AN111" s="44"/>
      <c r="AO111" s="44"/>
    </row>
    <row r="112" spans="1:43" ht="15.5">
      <c r="B112" s="125"/>
      <c r="C112" s="126"/>
      <c r="D112" s="126"/>
      <c r="E112" s="127"/>
      <c r="F112" s="128"/>
      <c r="G112" s="126"/>
      <c r="H112" s="127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5"/>
      <c r="X112" s="126"/>
      <c r="Y112" s="126"/>
      <c r="Z112" s="126"/>
      <c r="AA112" s="126"/>
      <c r="AB112" s="126"/>
      <c r="AC112" s="126"/>
      <c r="AD112" s="126"/>
      <c r="AE112" s="127"/>
      <c r="AF112" s="126"/>
      <c r="AG112" s="126"/>
      <c r="AH112" s="127"/>
      <c r="AI112" s="126"/>
      <c r="AJ112" s="127"/>
      <c r="AK112" s="127"/>
      <c r="AL112" s="129"/>
      <c r="AM112" s="129"/>
      <c r="AN112" s="44"/>
      <c r="AO112" s="44"/>
    </row>
    <row r="113" spans="2:41" ht="15.5">
      <c r="B113" s="125"/>
      <c r="C113" s="126"/>
      <c r="D113" s="126"/>
      <c r="E113" s="127"/>
      <c r="F113" s="128"/>
      <c r="G113" s="126"/>
      <c r="H113" s="127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5"/>
      <c r="X113" s="126"/>
      <c r="Y113" s="126"/>
      <c r="Z113" s="126"/>
      <c r="AA113" s="126"/>
      <c r="AB113" s="126"/>
      <c r="AC113" s="126"/>
      <c r="AD113" s="126"/>
      <c r="AE113" s="127"/>
      <c r="AF113" s="126"/>
      <c r="AG113" s="126"/>
      <c r="AH113" s="127"/>
      <c r="AI113" s="126"/>
      <c r="AJ113" s="127"/>
      <c r="AK113" s="127"/>
      <c r="AL113" s="129"/>
      <c r="AM113" s="129"/>
      <c r="AN113" s="44"/>
      <c r="AO113" s="44"/>
    </row>
    <row r="114" spans="2:41" ht="15.5">
      <c r="B114" s="125"/>
      <c r="C114" s="126"/>
      <c r="D114" s="126"/>
      <c r="E114" s="127"/>
      <c r="F114" s="128"/>
      <c r="G114" s="126"/>
      <c r="H114" s="127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5"/>
      <c r="X114" s="126"/>
      <c r="Y114" s="126"/>
      <c r="Z114" s="126"/>
      <c r="AA114" s="126"/>
      <c r="AB114" s="126"/>
      <c r="AC114" s="126"/>
      <c r="AD114" s="126"/>
      <c r="AE114" s="127"/>
      <c r="AF114" s="126"/>
      <c r="AG114" s="126"/>
      <c r="AH114" s="127"/>
      <c r="AI114" s="126"/>
      <c r="AJ114" s="127"/>
      <c r="AK114" s="127"/>
      <c r="AL114" s="129"/>
      <c r="AM114" s="129"/>
      <c r="AN114" s="44"/>
      <c r="AO114" s="44"/>
    </row>
    <row r="115" spans="2:41" ht="15.5">
      <c r="B115" s="125"/>
      <c r="C115" s="126"/>
      <c r="D115" s="126"/>
      <c r="E115" s="127"/>
      <c r="F115" s="128"/>
      <c r="G115" s="126"/>
      <c r="H115" s="127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5"/>
      <c r="X115" s="126"/>
      <c r="Y115" s="126"/>
      <c r="Z115" s="126"/>
      <c r="AA115" s="126"/>
      <c r="AB115" s="126"/>
      <c r="AC115" s="126"/>
      <c r="AD115" s="126"/>
      <c r="AE115" s="127"/>
      <c r="AF115" s="126"/>
      <c r="AG115" s="126"/>
      <c r="AH115" s="127"/>
      <c r="AI115" s="126"/>
      <c r="AJ115" s="127"/>
      <c r="AK115" s="127"/>
      <c r="AL115" s="129"/>
      <c r="AM115" s="129"/>
      <c r="AN115" s="44"/>
      <c r="AO115" s="44"/>
    </row>
    <row r="116" spans="2:41" ht="15.5">
      <c r="B116" s="125"/>
      <c r="C116" s="126"/>
      <c r="D116" s="126"/>
      <c r="E116" s="127"/>
      <c r="F116" s="128"/>
      <c r="G116" s="126"/>
      <c r="H116" s="127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5"/>
      <c r="X116" s="126"/>
      <c r="Y116" s="126"/>
      <c r="Z116" s="126"/>
      <c r="AA116" s="126"/>
      <c r="AB116" s="126"/>
      <c r="AC116" s="126"/>
      <c r="AD116" s="126"/>
      <c r="AE116" s="127"/>
      <c r="AF116" s="126"/>
      <c r="AG116" s="126"/>
      <c r="AH116" s="127"/>
      <c r="AI116" s="126"/>
      <c r="AJ116" s="127"/>
      <c r="AK116" s="127"/>
      <c r="AL116" s="129"/>
      <c r="AM116" s="129"/>
      <c r="AN116" s="44"/>
      <c r="AO116" s="44"/>
    </row>
    <row r="117" spans="2:41" ht="15.5">
      <c r="B117" s="125"/>
      <c r="C117" s="126"/>
      <c r="D117" s="126"/>
      <c r="E117" s="127"/>
      <c r="F117" s="128"/>
      <c r="G117" s="126"/>
      <c r="H117" s="127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5"/>
      <c r="X117" s="126"/>
      <c r="Y117" s="126"/>
      <c r="Z117" s="126"/>
      <c r="AA117" s="126"/>
      <c r="AB117" s="126"/>
      <c r="AC117" s="126"/>
      <c r="AD117" s="126"/>
      <c r="AE117" s="127"/>
      <c r="AF117" s="126"/>
      <c r="AG117" s="126"/>
      <c r="AH117" s="127"/>
      <c r="AI117" s="126"/>
      <c r="AJ117" s="127"/>
      <c r="AK117" s="127"/>
      <c r="AL117" s="129"/>
      <c r="AM117" s="129"/>
      <c r="AN117" s="44"/>
      <c r="AO117" s="44"/>
    </row>
    <row r="118" spans="2:41" ht="15.5">
      <c r="B118" s="125"/>
      <c r="C118" s="126"/>
      <c r="D118" s="126"/>
      <c r="E118" s="127"/>
      <c r="F118" s="128"/>
      <c r="G118" s="126"/>
      <c r="H118" s="127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5"/>
      <c r="X118" s="126"/>
      <c r="Y118" s="126"/>
      <c r="Z118" s="126"/>
      <c r="AA118" s="126"/>
      <c r="AB118" s="126"/>
      <c r="AC118" s="126"/>
      <c r="AD118" s="126"/>
      <c r="AE118" s="127"/>
      <c r="AF118" s="126"/>
      <c r="AG118" s="126"/>
      <c r="AH118" s="127"/>
      <c r="AI118" s="126"/>
      <c r="AJ118" s="127"/>
      <c r="AK118" s="127"/>
      <c r="AL118" s="129"/>
      <c r="AM118" s="129"/>
      <c r="AN118" s="44"/>
      <c r="AO118" s="44"/>
    </row>
    <row r="119" spans="2:41" ht="15.5">
      <c r="B119" s="125"/>
      <c r="C119" s="126"/>
      <c r="D119" s="126"/>
      <c r="E119" s="127"/>
      <c r="F119" s="128"/>
      <c r="G119" s="126"/>
      <c r="H119" s="127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5"/>
      <c r="X119" s="126"/>
      <c r="Y119" s="126"/>
      <c r="Z119" s="126"/>
      <c r="AA119" s="126"/>
      <c r="AB119" s="126"/>
      <c r="AC119" s="126"/>
      <c r="AD119" s="126"/>
      <c r="AE119" s="127"/>
      <c r="AF119" s="126"/>
      <c r="AG119" s="126"/>
      <c r="AH119" s="127"/>
      <c r="AI119" s="126"/>
      <c r="AJ119" s="127"/>
      <c r="AK119" s="127"/>
      <c r="AL119" s="129"/>
      <c r="AM119" s="129"/>
      <c r="AN119" s="44"/>
      <c r="AO119" s="44"/>
    </row>
    <row r="120" spans="2:41" ht="15.5">
      <c r="B120" s="125"/>
      <c r="C120" s="126"/>
      <c r="D120" s="126"/>
      <c r="E120" s="127"/>
      <c r="F120" s="128"/>
      <c r="G120" s="126"/>
      <c r="H120" s="127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5"/>
      <c r="X120" s="126"/>
      <c r="Y120" s="126"/>
      <c r="Z120" s="126"/>
      <c r="AA120" s="126"/>
      <c r="AB120" s="126"/>
      <c r="AC120" s="126"/>
      <c r="AD120" s="126"/>
      <c r="AE120" s="127"/>
      <c r="AF120" s="126"/>
      <c r="AG120" s="126"/>
      <c r="AH120" s="127"/>
      <c r="AI120" s="126"/>
      <c r="AJ120" s="127"/>
      <c r="AK120" s="127"/>
      <c r="AL120" s="129"/>
      <c r="AM120" s="129"/>
      <c r="AN120" s="44"/>
      <c r="AO120" s="44"/>
    </row>
    <row r="121" spans="2:41" ht="15.5">
      <c r="B121" s="125"/>
      <c r="C121" s="126"/>
      <c r="D121" s="126"/>
      <c r="E121" s="127"/>
      <c r="F121" s="128"/>
      <c r="G121" s="126"/>
      <c r="H121" s="127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5"/>
      <c r="X121" s="126"/>
      <c r="Y121" s="126"/>
      <c r="Z121" s="126"/>
      <c r="AA121" s="126"/>
      <c r="AB121" s="126"/>
      <c r="AC121" s="126"/>
      <c r="AD121" s="126"/>
      <c r="AE121" s="127"/>
      <c r="AF121" s="126"/>
      <c r="AG121" s="126"/>
      <c r="AH121" s="127"/>
      <c r="AI121" s="126"/>
      <c r="AJ121" s="127"/>
      <c r="AK121" s="127"/>
      <c r="AL121" s="129"/>
      <c r="AM121" s="129"/>
      <c r="AN121" s="44"/>
      <c r="AO121" s="44"/>
    </row>
    <row r="122" spans="2:41" ht="15.5">
      <c r="B122" s="125"/>
      <c r="C122" s="126"/>
      <c r="D122" s="126"/>
      <c r="E122" s="127"/>
      <c r="F122" s="128"/>
      <c r="G122" s="126"/>
      <c r="H122" s="127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5"/>
      <c r="X122" s="126"/>
      <c r="Y122" s="126"/>
      <c r="Z122" s="126"/>
      <c r="AA122" s="126"/>
      <c r="AB122" s="126"/>
      <c r="AC122" s="126"/>
      <c r="AD122" s="126"/>
      <c r="AE122" s="127"/>
      <c r="AF122" s="126"/>
      <c r="AG122" s="126"/>
      <c r="AH122" s="127"/>
      <c r="AI122" s="126"/>
      <c r="AJ122" s="127"/>
      <c r="AK122" s="127"/>
      <c r="AL122" s="129"/>
      <c r="AM122" s="129"/>
      <c r="AN122" s="44"/>
      <c r="AO122" s="44"/>
    </row>
    <row r="123" spans="2:41" ht="15.5">
      <c r="B123" s="125"/>
      <c r="C123" s="126"/>
      <c r="D123" s="126"/>
      <c r="E123" s="127"/>
      <c r="F123" s="128"/>
      <c r="G123" s="126"/>
      <c r="H123" s="127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5"/>
      <c r="X123" s="126"/>
      <c r="Y123" s="126"/>
      <c r="Z123" s="126"/>
      <c r="AA123" s="126"/>
      <c r="AB123" s="126"/>
      <c r="AC123" s="126"/>
      <c r="AD123" s="126"/>
      <c r="AE123" s="127"/>
      <c r="AF123" s="126"/>
      <c r="AG123" s="126"/>
      <c r="AH123" s="127"/>
      <c r="AI123" s="126"/>
      <c r="AJ123" s="127"/>
      <c r="AK123" s="127"/>
      <c r="AL123" s="129"/>
      <c r="AM123" s="129"/>
      <c r="AN123" s="44"/>
      <c r="AO123" s="44"/>
    </row>
    <row r="124" spans="2:41" ht="15.5">
      <c r="B124" s="125"/>
      <c r="C124" s="126"/>
      <c r="D124" s="126"/>
      <c r="E124" s="127"/>
      <c r="F124" s="128"/>
      <c r="G124" s="126"/>
      <c r="H124" s="127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5"/>
      <c r="X124" s="126"/>
      <c r="Y124" s="126"/>
      <c r="Z124" s="126"/>
      <c r="AA124" s="126"/>
      <c r="AB124" s="126"/>
      <c r="AC124" s="126"/>
      <c r="AD124" s="126"/>
      <c r="AE124" s="127"/>
      <c r="AF124" s="126"/>
      <c r="AG124" s="126"/>
      <c r="AH124" s="127"/>
      <c r="AI124" s="126"/>
      <c r="AJ124" s="127"/>
      <c r="AK124" s="127"/>
      <c r="AL124" s="129"/>
      <c r="AM124" s="129"/>
      <c r="AN124" s="44"/>
      <c r="AO124" s="44"/>
    </row>
    <row r="125" spans="2:41" ht="15.5">
      <c r="B125" s="125"/>
      <c r="C125" s="126"/>
      <c r="D125" s="126"/>
      <c r="E125" s="127"/>
      <c r="F125" s="128"/>
      <c r="G125" s="126"/>
      <c r="H125" s="127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5"/>
      <c r="X125" s="126"/>
      <c r="Y125" s="126"/>
      <c r="Z125" s="126"/>
      <c r="AA125" s="126"/>
      <c r="AB125" s="126"/>
      <c r="AC125" s="126"/>
      <c r="AD125" s="126"/>
      <c r="AE125" s="127"/>
      <c r="AF125" s="126"/>
      <c r="AG125" s="126"/>
      <c r="AH125" s="127"/>
      <c r="AI125" s="126"/>
      <c r="AJ125" s="127"/>
      <c r="AK125" s="127"/>
      <c r="AL125" s="129"/>
      <c r="AM125" s="129"/>
      <c r="AN125" s="44"/>
      <c r="AO125" s="44"/>
    </row>
    <row r="126" spans="2:41" ht="15.5">
      <c r="B126" s="125"/>
      <c r="C126" s="126"/>
      <c r="D126" s="126"/>
      <c r="E126" s="127"/>
      <c r="F126" s="128"/>
      <c r="G126" s="126"/>
      <c r="H126" s="127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5"/>
      <c r="X126" s="126"/>
      <c r="Y126" s="126"/>
      <c r="Z126" s="126"/>
      <c r="AA126" s="126"/>
      <c r="AB126" s="126"/>
      <c r="AC126" s="126"/>
      <c r="AD126" s="126"/>
      <c r="AE126" s="127"/>
      <c r="AF126" s="126"/>
      <c r="AG126" s="126"/>
      <c r="AH126" s="127"/>
      <c r="AI126" s="126"/>
      <c r="AJ126" s="127"/>
      <c r="AK126" s="127"/>
      <c r="AL126" s="129"/>
      <c r="AM126" s="129"/>
      <c r="AN126" s="44"/>
      <c r="AO126" s="44"/>
    </row>
    <row r="127" spans="2:41" ht="15.5">
      <c r="B127" s="125"/>
      <c r="C127" s="126"/>
      <c r="D127" s="126"/>
      <c r="E127" s="127"/>
      <c r="F127" s="128"/>
      <c r="G127" s="126"/>
      <c r="H127" s="127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5"/>
      <c r="X127" s="126"/>
      <c r="Y127" s="126"/>
      <c r="Z127" s="126"/>
      <c r="AA127" s="126"/>
      <c r="AB127" s="126"/>
      <c r="AC127" s="126"/>
      <c r="AD127" s="126"/>
      <c r="AE127" s="127"/>
      <c r="AF127" s="126"/>
      <c r="AG127" s="126"/>
      <c r="AH127" s="127"/>
      <c r="AI127" s="126"/>
      <c r="AJ127" s="127"/>
      <c r="AK127" s="127"/>
      <c r="AL127" s="129"/>
      <c r="AM127" s="129"/>
      <c r="AN127" s="44"/>
      <c r="AO127" s="44"/>
    </row>
    <row r="128" spans="2:41" ht="15.5">
      <c r="B128" s="125"/>
      <c r="C128" s="126"/>
      <c r="D128" s="126"/>
      <c r="E128" s="127"/>
      <c r="F128" s="128"/>
      <c r="G128" s="126"/>
      <c r="H128" s="127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5"/>
      <c r="X128" s="126"/>
      <c r="Y128" s="126"/>
      <c r="Z128" s="126"/>
      <c r="AA128" s="126"/>
      <c r="AB128" s="126"/>
      <c r="AC128" s="126"/>
      <c r="AD128" s="126"/>
      <c r="AE128" s="127"/>
      <c r="AF128" s="126"/>
      <c r="AG128" s="126"/>
      <c r="AH128" s="127"/>
      <c r="AI128" s="126"/>
      <c r="AJ128" s="127"/>
      <c r="AK128" s="127"/>
      <c r="AL128" s="129"/>
      <c r="AM128" s="129"/>
      <c r="AN128" s="44"/>
      <c r="AO128" s="44"/>
    </row>
    <row r="129" spans="2:41" ht="15.5">
      <c r="B129" s="125"/>
      <c r="C129" s="126"/>
      <c r="D129" s="126"/>
      <c r="E129" s="127"/>
      <c r="F129" s="128"/>
      <c r="G129" s="126"/>
      <c r="H129" s="127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5"/>
      <c r="X129" s="126"/>
      <c r="Y129" s="126"/>
      <c r="Z129" s="126"/>
      <c r="AA129" s="126"/>
      <c r="AB129" s="126"/>
      <c r="AC129" s="126"/>
      <c r="AD129" s="126"/>
      <c r="AE129" s="127"/>
      <c r="AF129" s="126"/>
      <c r="AG129" s="126"/>
      <c r="AH129" s="127"/>
      <c r="AI129" s="126"/>
      <c r="AJ129" s="127"/>
      <c r="AK129" s="127"/>
      <c r="AL129" s="129"/>
      <c r="AM129" s="129"/>
      <c r="AN129" s="44"/>
      <c r="AO129" s="44"/>
    </row>
    <row r="130" spans="2:41" ht="15.5">
      <c r="B130" s="125"/>
      <c r="C130" s="126"/>
      <c r="D130" s="126"/>
      <c r="E130" s="127"/>
      <c r="F130" s="128"/>
      <c r="G130" s="126"/>
      <c r="H130" s="127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5"/>
      <c r="X130" s="126"/>
      <c r="Y130" s="126"/>
      <c r="Z130" s="126"/>
      <c r="AA130" s="126"/>
      <c r="AB130" s="126"/>
      <c r="AC130" s="126"/>
      <c r="AD130" s="126"/>
      <c r="AE130" s="127"/>
      <c r="AF130" s="126"/>
      <c r="AG130" s="126"/>
      <c r="AH130" s="127"/>
      <c r="AI130" s="126"/>
      <c r="AJ130" s="127"/>
      <c r="AK130" s="127"/>
      <c r="AL130" s="129"/>
      <c r="AM130" s="129"/>
      <c r="AN130" s="44"/>
      <c r="AO130" s="44"/>
    </row>
    <row r="131" spans="2:41" ht="15.5">
      <c r="B131" s="125"/>
      <c r="C131" s="126"/>
      <c r="D131" s="126"/>
      <c r="E131" s="127"/>
      <c r="F131" s="128"/>
      <c r="G131" s="126"/>
      <c r="H131" s="127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5"/>
      <c r="X131" s="126"/>
      <c r="Y131" s="126"/>
      <c r="Z131" s="126"/>
      <c r="AA131" s="126"/>
      <c r="AB131" s="126"/>
      <c r="AC131" s="126"/>
      <c r="AD131" s="126"/>
      <c r="AE131" s="127"/>
      <c r="AF131" s="126"/>
      <c r="AG131" s="126"/>
      <c r="AH131" s="127"/>
      <c r="AI131" s="126"/>
      <c r="AJ131" s="127"/>
      <c r="AK131" s="127"/>
      <c r="AL131" s="129"/>
      <c r="AM131" s="129"/>
      <c r="AN131" s="44"/>
      <c r="AO131" s="44"/>
    </row>
    <row r="132" spans="2:41" ht="15.5">
      <c r="B132" s="125"/>
      <c r="C132" s="126"/>
      <c r="D132" s="126"/>
      <c r="E132" s="127"/>
      <c r="F132" s="128"/>
      <c r="G132" s="126"/>
      <c r="H132" s="127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5"/>
      <c r="X132" s="126"/>
      <c r="Y132" s="126"/>
      <c r="Z132" s="126"/>
      <c r="AA132" s="126"/>
      <c r="AB132" s="126"/>
      <c r="AC132" s="126"/>
      <c r="AD132" s="126"/>
      <c r="AE132" s="127"/>
      <c r="AF132" s="126"/>
      <c r="AG132" s="126"/>
      <c r="AH132" s="127"/>
      <c r="AI132" s="126"/>
      <c r="AJ132" s="127"/>
      <c r="AK132" s="127"/>
      <c r="AL132" s="129"/>
      <c r="AM132" s="129"/>
      <c r="AN132" s="44"/>
      <c r="AO132" s="44"/>
    </row>
    <row r="133" spans="2:41" ht="15.5">
      <c r="B133" s="125"/>
      <c r="C133" s="126"/>
      <c r="D133" s="126"/>
      <c r="E133" s="127"/>
      <c r="F133" s="128"/>
      <c r="G133" s="126"/>
      <c r="H133" s="127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5"/>
      <c r="X133" s="126"/>
      <c r="Y133" s="126"/>
      <c r="Z133" s="126"/>
      <c r="AA133" s="126"/>
      <c r="AB133" s="126"/>
      <c r="AC133" s="126"/>
      <c r="AD133" s="126"/>
      <c r="AE133" s="127"/>
      <c r="AF133" s="126"/>
      <c r="AG133" s="126"/>
      <c r="AH133" s="127"/>
      <c r="AI133" s="126"/>
      <c r="AJ133" s="127"/>
      <c r="AK133" s="127"/>
      <c r="AL133" s="129"/>
      <c r="AM133" s="129"/>
      <c r="AN133" s="44"/>
      <c r="AO133" s="44"/>
    </row>
    <row r="134" spans="2:41" ht="15.5">
      <c r="B134" s="125"/>
      <c r="C134" s="126"/>
      <c r="D134" s="126"/>
      <c r="E134" s="127"/>
      <c r="F134" s="128"/>
      <c r="G134" s="126"/>
      <c r="H134" s="127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5"/>
      <c r="X134" s="126"/>
      <c r="Y134" s="126"/>
      <c r="Z134" s="126"/>
      <c r="AA134" s="126"/>
      <c r="AB134" s="126"/>
      <c r="AC134" s="126"/>
      <c r="AD134" s="126"/>
      <c r="AE134" s="127"/>
      <c r="AF134" s="126"/>
      <c r="AG134" s="126"/>
      <c r="AH134" s="127"/>
      <c r="AI134" s="126"/>
      <c r="AJ134" s="127"/>
      <c r="AK134" s="127"/>
      <c r="AL134" s="129"/>
      <c r="AM134" s="129"/>
      <c r="AN134" s="44"/>
      <c r="AO134" s="44"/>
    </row>
    <row r="135" spans="2:41" ht="15.5">
      <c r="B135" s="125"/>
      <c r="C135" s="126"/>
      <c r="D135" s="126"/>
      <c r="E135" s="127"/>
      <c r="F135" s="128"/>
      <c r="G135" s="126"/>
      <c r="H135" s="127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5"/>
      <c r="X135" s="126"/>
      <c r="Y135" s="126"/>
      <c r="Z135" s="126"/>
      <c r="AA135" s="126"/>
      <c r="AB135" s="126"/>
      <c r="AC135" s="126"/>
      <c r="AD135" s="126"/>
      <c r="AE135" s="127"/>
      <c r="AF135" s="126"/>
      <c r="AG135" s="126"/>
      <c r="AH135" s="127"/>
      <c r="AI135" s="126"/>
      <c r="AJ135" s="127"/>
      <c r="AK135" s="127"/>
      <c r="AL135" s="129"/>
      <c r="AM135" s="129"/>
      <c r="AN135" s="44"/>
      <c r="AO135" s="44"/>
    </row>
    <row r="136" spans="2:41" ht="15.5">
      <c r="B136" s="125"/>
      <c r="C136" s="126"/>
      <c r="D136" s="126"/>
      <c r="E136" s="127"/>
      <c r="F136" s="128"/>
      <c r="G136" s="126"/>
      <c r="H136" s="127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5"/>
      <c r="X136" s="126"/>
      <c r="Y136" s="126"/>
      <c r="Z136" s="126"/>
      <c r="AA136" s="126"/>
      <c r="AB136" s="126"/>
      <c r="AC136" s="126"/>
      <c r="AD136" s="126"/>
      <c r="AE136" s="127"/>
      <c r="AF136" s="126"/>
      <c r="AG136" s="126"/>
      <c r="AH136" s="127"/>
      <c r="AI136" s="126"/>
      <c r="AJ136" s="127"/>
      <c r="AK136" s="127"/>
      <c r="AL136" s="129"/>
      <c r="AM136" s="129"/>
      <c r="AN136" s="44"/>
      <c r="AO136" s="44"/>
    </row>
    <row r="137" spans="2:41" ht="15.5">
      <c r="B137" s="125"/>
      <c r="C137" s="126"/>
      <c r="D137" s="126"/>
      <c r="E137" s="127"/>
      <c r="F137" s="128"/>
      <c r="G137" s="126"/>
      <c r="H137" s="127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5"/>
      <c r="X137" s="126"/>
      <c r="Y137" s="126"/>
      <c r="Z137" s="126"/>
      <c r="AA137" s="126"/>
      <c r="AB137" s="126"/>
      <c r="AC137" s="126"/>
      <c r="AD137" s="126"/>
      <c r="AE137" s="127"/>
      <c r="AF137" s="126"/>
      <c r="AG137" s="126"/>
      <c r="AH137" s="127"/>
      <c r="AI137" s="126"/>
      <c r="AJ137" s="127"/>
      <c r="AK137" s="127"/>
      <c r="AL137" s="129"/>
      <c r="AM137" s="129"/>
      <c r="AN137" s="44"/>
      <c r="AO137" s="44"/>
    </row>
    <row r="138" spans="2:41" ht="15.5">
      <c r="B138" s="125"/>
      <c r="C138" s="126"/>
      <c r="D138" s="126"/>
      <c r="E138" s="127"/>
      <c r="F138" s="128"/>
      <c r="G138" s="126"/>
      <c r="H138" s="127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5"/>
      <c r="X138" s="126"/>
      <c r="Y138" s="126"/>
      <c r="Z138" s="126"/>
      <c r="AA138" s="126"/>
      <c r="AB138" s="126"/>
      <c r="AC138" s="126"/>
      <c r="AD138" s="126"/>
      <c r="AE138" s="127"/>
      <c r="AF138" s="126"/>
      <c r="AG138" s="126"/>
      <c r="AH138" s="127"/>
      <c r="AI138" s="126"/>
      <c r="AJ138" s="127"/>
      <c r="AK138" s="127"/>
      <c r="AL138" s="129"/>
      <c r="AM138" s="129"/>
      <c r="AN138" s="44"/>
      <c r="AO138" s="44"/>
    </row>
    <row r="139" spans="2:41" ht="15.5">
      <c r="B139" s="125"/>
      <c r="C139" s="126"/>
      <c r="D139" s="126"/>
      <c r="E139" s="127"/>
      <c r="F139" s="128"/>
      <c r="G139" s="126"/>
      <c r="H139" s="127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5"/>
      <c r="X139" s="126"/>
      <c r="Y139" s="126"/>
      <c r="Z139" s="126"/>
      <c r="AA139" s="126"/>
      <c r="AB139" s="126"/>
      <c r="AC139" s="126"/>
      <c r="AD139" s="126"/>
      <c r="AE139" s="127"/>
      <c r="AF139" s="126"/>
      <c r="AG139" s="126"/>
      <c r="AH139" s="127"/>
      <c r="AI139" s="126"/>
      <c r="AJ139" s="127"/>
      <c r="AK139" s="127"/>
      <c r="AL139" s="129"/>
      <c r="AM139" s="129"/>
      <c r="AN139" s="44"/>
      <c r="AO139" s="44"/>
    </row>
    <row r="140" spans="2:41" ht="15.5">
      <c r="B140" s="125"/>
      <c r="C140" s="126"/>
      <c r="D140" s="126"/>
      <c r="E140" s="127"/>
      <c r="F140" s="128"/>
      <c r="G140" s="126"/>
      <c r="H140" s="127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5"/>
      <c r="X140" s="126"/>
      <c r="Y140" s="126"/>
      <c r="Z140" s="126"/>
      <c r="AA140" s="126"/>
      <c r="AB140" s="126"/>
      <c r="AC140" s="126"/>
      <c r="AD140" s="126"/>
      <c r="AE140" s="127"/>
      <c r="AF140" s="126"/>
      <c r="AG140" s="126"/>
      <c r="AH140" s="127"/>
      <c r="AI140" s="126"/>
      <c r="AJ140" s="127"/>
      <c r="AK140" s="127"/>
      <c r="AL140" s="129"/>
      <c r="AM140" s="129"/>
      <c r="AN140" s="44"/>
      <c r="AO140" s="44"/>
    </row>
    <row r="141" spans="2:41" ht="15.5">
      <c r="B141" s="125"/>
      <c r="C141" s="126"/>
      <c r="D141" s="126"/>
      <c r="E141" s="127"/>
      <c r="F141" s="128"/>
      <c r="G141" s="126"/>
      <c r="H141" s="127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5"/>
      <c r="X141" s="126"/>
      <c r="Y141" s="126"/>
      <c r="Z141" s="126"/>
      <c r="AA141" s="126"/>
      <c r="AB141" s="126"/>
      <c r="AC141" s="126"/>
      <c r="AD141" s="126"/>
      <c r="AE141" s="127"/>
      <c r="AF141" s="126"/>
      <c r="AG141" s="126"/>
      <c r="AH141" s="127"/>
      <c r="AI141" s="126"/>
      <c r="AJ141" s="127"/>
      <c r="AK141" s="127"/>
      <c r="AL141" s="129"/>
      <c r="AM141" s="129"/>
      <c r="AN141" s="44"/>
      <c r="AO141" s="44"/>
    </row>
    <row r="142" spans="2:41" ht="15.5">
      <c r="B142" s="125"/>
      <c r="C142" s="126"/>
      <c r="D142" s="126"/>
      <c r="E142" s="127"/>
      <c r="F142" s="128"/>
      <c r="G142" s="126"/>
      <c r="H142" s="127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5"/>
      <c r="X142" s="126"/>
      <c r="Y142" s="126"/>
      <c r="Z142" s="126"/>
      <c r="AA142" s="126"/>
      <c r="AB142" s="126"/>
      <c r="AC142" s="126"/>
      <c r="AD142" s="126"/>
      <c r="AE142" s="127"/>
      <c r="AF142" s="126"/>
      <c r="AG142" s="126"/>
      <c r="AH142" s="127"/>
      <c r="AI142" s="126"/>
      <c r="AJ142" s="127"/>
      <c r="AK142" s="127"/>
      <c r="AL142" s="129"/>
      <c r="AM142" s="129"/>
      <c r="AN142" s="44"/>
      <c r="AO142" s="44"/>
    </row>
    <row r="143" spans="2:41" ht="15.5">
      <c r="B143" s="125"/>
      <c r="C143" s="126"/>
      <c r="D143" s="126"/>
      <c r="E143" s="127"/>
      <c r="F143" s="128"/>
      <c r="G143" s="126"/>
      <c r="H143" s="127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5"/>
      <c r="X143" s="126"/>
      <c r="Y143" s="126"/>
      <c r="Z143" s="126"/>
      <c r="AA143" s="126"/>
      <c r="AB143" s="126"/>
      <c r="AC143" s="126"/>
      <c r="AD143" s="126"/>
      <c r="AE143" s="127"/>
      <c r="AF143" s="126"/>
      <c r="AG143" s="126"/>
      <c r="AH143" s="127"/>
      <c r="AI143" s="126"/>
      <c r="AJ143" s="127"/>
      <c r="AK143" s="127"/>
      <c r="AL143" s="129"/>
      <c r="AM143" s="129"/>
      <c r="AN143" s="44"/>
      <c r="AO143" s="44"/>
    </row>
    <row r="144" spans="2:41" ht="15.5">
      <c r="B144" s="125"/>
      <c r="C144" s="126"/>
      <c r="D144" s="126"/>
      <c r="E144" s="127"/>
      <c r="F144" s="128"/>
      <c r="G144" s="126"/>
      <c r="H144" s="127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5"/>
      <c r="X144" s="126"/>
      <c r="Y144" s="126"/>
      <c r="Z144" s="126"/>
      <c r="AA144" s="126"/>
      <c r="AB144" s="126"/>
      <c r="AC144" s="126"/>
      <c r="AD144" s="126"/>
      <c r="AE144" s="127"/>
      <c r="AF144" s="126"/>
      <c r="AG144" s="126"/>
      <c r="AH144" s="127"/>
      <c r="AI144" s="126"/>
      <c r="AJ144" s="127"/>
      <c r="AK144" s="127"/>
      <c r="AL144" s="129"/>
      <c r="AM144" s="129"/>
      <c r="AN144" s="44"/>
      <c r="AO144" s="44"/>
    </row>
    <row r="145" spans="2:41" ht="15.5">
      <c r="B145" s="125"/>
      <c r="C145" s="126"/>
      <c r="D145" s="126"/>
      <c r="E145" s="127"/>
      <c r="F145" s="128"/>
      <c r="G145" s="126"/>
      <c r="H145" s="127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5"/>
      <c r="X145" s="126"/>
      <c r="Y145" s="126"/>
      <c r="Z145" s="126"/>
      <c r="AA145" s="126"/>
      <c r="AB145" s="126"/>
      <c r="AC145" s="126"/>
      <c r="AD145" s="126"/>
      <c r="AE145" s="127"/>
      <c r="AF145" s="126"/>
      <c r="AG145" s="126"/>
      <c r="AH145" s="127"/>
      <c r="AI145" s="126"/>
      <c r="AJ145" s="127"/>
      <c r="AK145" s="127"/>
      <c r="AL145" s="129"/>
      <c r="AM145" s="129"/>
      <c r="AN145" s="44"/>
      <c r="AO145" s="44"/>
    </row>
    <row r="146" spans="2:41" ht="15.5">
      <c r="B146" s="125"/>
      <c r="C146" s="126"/>
      <c r="D146" s="126"/>
      <c r="E146" s="127"/>
      <c r="F146" s="128"/>
      <c r="G146" s="126"/>
      <c r="H146" s="127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5"/>
      <c r="X146" s="126"/>
      <c r="Y146" s="126"/>
      <c r="Z146" s="126"/>
      <c r="AA146" s="126"/>
      <c r="AB146" s="126"/>
      <c r="AC146" s="126"/>
      <c r="AD146" s="126"/>
      <c r="AE146" s="127"/>
      <c r="AF146" s="126"/>
      <c r="AG146" s="126"/>
      <c r="AH146" s="127"/>
      <c r="AI146" s="126"/>
      <c r="AJ146" s="127"/>
      <c r="AK146" s="127"/>
      <c r="AL146" s="129"/>
      <c r="AM146" s="129"/>
      <c r="AN146" s="44"/>
      <c r="AO146" s="44"/>
    </row>
    <row r="147" spans="2:41" ht="15.5">
      <c r="B147" s="125"/>
      <c r="C147" s="126"/>
      <c r="D147" s="126"/>
      <c r="E147" s="127"/>
      <c r="F147" s="128"/>
      <c r="G147" s="126"/>
      <c r="H147" s="127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5"/>
      <c r="X147" s="126"/>
      <c r="Y147" s="126"/>
      <c r="Z147" s="126"/>
      <c r="AA147" s="126"/>
      <c r="AB147" s="126"/>
      <c r="AC147" s="126"/>
      <c r="AD147" s="126"/>
      <c r="AE147" s="127"/>
      <c r="AF147" s="126"/>
      <c r="AG147" s="126"/>
      <c r="AH147" s="127"/>
      <c r="AI147" s="126"/>
      <c r="AJ147" s="127"/>
      <c r="AK147" s="127"/>
      <c r="AL147" s="129"/>
      <c r="AM147" s="129"/>
      <c r="AN147" s="44"/>
      <c r="AO147" s="44"/>
    </row>
    <row r="148" spans="2:41" ht="15.5">
      <c r="B148" s="125"/>
      <c r="C148" s="126"/>
      <c r="D148" s="126"/>
      <c r="E148" s="127"/>
      <c r="F148" s="128"/>
      <c r="G148" s="126"/>
      <c r="H148" s="127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5"/>
      <c r="X148" s="126"/>
      <c r="Y148" s="126"/>
      <c r="Z148" s="126"/>
      <c r="AA148" s="126"/>
      <c r="AB148" s="126"/>
      <c r="AC148" s="126"/>
      <c r="AD148" s="126"/>
      <c r="AE148" s="127"/>
      <c r="AF148" s="126"/>
      <c r="AG148" s="126"/>
      <c r="AH148" s="127"/>
      <c r="AI148" s="126"/>
      <c r="AJ148" s="127"/>
      <c r="AK148" s="127"/>
      <c r="AL148" s="129"/>
      <c r="AM148" s="129"/>
      <c r="AN148" s="44"/>
      <c r="AO148" s="44"/>
    </row>
    <row r="149" spans="2:41" ht="15.5">
      <c r="B149" s="125"/>
      <c r="C149" s="126"/>
      <c r="D149" s="126"/>
      <c r="E149" s="127"/>
      <c r="F149" s="128"/>
      <c r="G149" s="126"/>
      <c r="H149" s="127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5"/>
      <c r="X149" s="126"/>
      <c r="Y149" s="126"/>
      <c r="Z149" s="126"/>
      <c r="AA149" s="126"/>
      <c r="AB149" s="126"/>
      <c r="AC149" s="126"/>
      <c r="AD149" s="126"/>
      <c r="AE149" s="127"/>
      <c r="AF149" s="126"/>
      <c r="AG149" s="126"/>
      <c r="AH149" s="127"/>
      <c r="AI149" s="126"/>
      <c r="AJ149" s="127"/>
      <c r="AK149" s="127"/>
      <c r="AL149" s="129"/>
      <c r="AM149" s="129"/>
      <c r="AN149" s="44"/>
      <c r="AO149" s="44"/>
    </row>
    <row r="150" spans="2:41" ht="15.5">
      <c r="B150" s="125"/>
      <c r="C150" s="126"/>
      <c r="D150" s="126"/>
      <c r="E150" s="127"/>
      <c r="F150" s="128"/>
      <c r="G150" s="126"/>
      <c r="H150" s="127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5"/>
      <c r="X150" s="126"/>
      <c r="Y150" s="126"/>
      <c r="Z150" s="126"/>
      <c r="AA150" s="126"/>
      <c r="AB150" s="126"/>
      <c r="AC150" s="126"/>
      <c r="AD150" s="126"/>
      <c r="AE150" s="127"/>
      <c r="AF150" s="126"/>
      <c r="AG150" s="126"/>
      <c r="AH150" s="127"/>
      <c r="AI150" s="126"/>
      <c r="AJ150" s="127"/>
      <c r="AK150" s="127"/>
      <c r="AL150" s="129"/>
      <c r="AM150" s="129"/>
      <c r="AN150" s="44"/>
      <c r="AO150" s="44"/>
    </row>
    <row r="151" spans="2:41" ht="15.5">
      <c r="B151" s="125"/>
      <c r="C151" s="126"/>
      <c r="D151" s="126"/>
      <c r="E151" s="127"/>
      <c r="F151" s="128"/>
      <c r="G151" s="126"/>
      <c r="H151" s="127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5"/>
      <c r="X151" s="126"/>
      <c r="Y151" s="126"/>
      <c r="Z151" s="126"/>
      <c r="AA151" s="126"/>
      <c r="AB151" s="126"/>
      <c r="AC151" s="126"/>
      <c r="AD151" s="126"/>
      <c r="AE151" s="127"/>
      <c r="AF151" s="126"/>
      <c r="AG151" s="126"/>
      <c r="AH151" s="127"/>
      <c r="AI151" s="126"/>
      <c r="AJ151" s="127"/>
      <c r="AK151" s="127"/>
      <c r="AL151" s="129"/>
      <c r="AM151" s="129"/>
      <c r="AN151" s="44"/>
      <c r="AO151" s="44"/>
    </row>
    <row r="152" spans="2:41" ht="15.5">
      <c r="B152" s="125"/>
      <c r="C152" s="126"/>
      <c r="D152" s="126"/>
      <c r="E152" s="127"/>
      <c r="F152" s="128"/>
      <c r="G152" s="126"/>
      <c r="H152" s="127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5"/>
      <c r="X152" s="126"/>
      <c r="Y152" s="126"/>
      <c r="Z152" s="126"/>
      <c r="AA152" s="126"/>
      <c r="AB152" s="126"/>
      <c r="AC152" s="126"/>
      <c r="AD152" s="126"/>
      <c r="AE152" s="127"/>
      <c r="AF152" s="126"/>
      <c r="AG152" s="126"/>
      <c r="AH152" s="127"/>
      <c r="AI152" s="126"/>
      <c r="AJ152" s="127"/>
      <c r="AK152" s="127"/>
      <c r="AL152" s="129"/>
      <c r="AM152" s="129"/>
      <c r="AN152" s="44"/>
      <c r="AO152" s="44"/>
    </row>
    <row r="153" spans="2:41" ht="15.5">
      <c r="B153" s="125"/>
      <c r="C153" s="126"/>
      <c r="D153" s="126"/>
      <c r="E153" s="127"/>
      <c r="F153" s="128"/>
      <c r="G153" s="126"/>
      <c r="H153" s="127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5"/>
      <c r="X153" s="126"/>
      <c r="Y153" s="126"/>
      <c r="Z153" s="126"/>
      <c r="AA153" s="126"/>
      <c r="AB153" s="126"/>
      <c r="AC153" s="126"/>
      <c r="AD153" s="126"/>
      <c r="AE153" s="127"/>
      <c r="AF153" s="126"/>
      <c r="AG153" s="126"/>
      <c r="AH153" s="127"/>
      <c r="AI153" s="126"/>
      <c r="AJ153" s="127"/>
      <c r="AK153" s="127"/>
      <c r="AL153" s="129"/>
      <c r="AM153" s="129"/>
      <c r="AN153" s="44"/>
      <c r="AO153" s="44"/>
    </row>
    <row r="154" spans="2:41" ht="15.5">
      <c r="B154" s="125"/>
      <c r="C154" s="126"/>
      <c r="D154" s="126"/>
      <c r="E154" s="127"/>
      <c r="F154" s="128"/>
      <c r="G154" s="126"/>
      <c r="H154" s="127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5"/>
      <c r="X154" s="126"/>
      <c r="Y154" s="126"/>
      <c r="Z154" s="126"/>
      <c r="AA154" s="126"/>
      <c r="AB154" s="126"/>
      <c r="AC154" s="126"/>
      <c r="AD154" s="126"/>
      <c r="AE154" s="127"/>
      <c r="AF154" s="126"/>
      <c r="AG154" s="126"/>
      <c r="AH154" s="127"/>
      <c r="AI154" s="126"/>
      <c r="AJ154" s="127"/>
      <c r="AK154" s="127"/>
      <c r="AL154" s="129"/>
      <c r="AM154" s="129"/>
      <c r="AN154" s="44"/>
      <c r="AO154" s="44"/>
    </row>
    <row r="155" spans="2:41" ht="15.5">
      <c r="B155" s="125"/>
      <c r="C155" s="126"/>
      <c r="D155" s="126"/>
      <c r="E155" s="127"/>
      <c r="F155" s="128"/>
      <c r="G155" s="126"/>
      <c r="H155" s="127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5"/>
      <c r="X155" s="126"/>
      <c r="Y155" s="126"/>
      <c r="Z155" s="126"/>
      <c r="AA155" s="126"/>
      <c r="AB155" s="126"/>
      <c r="AC155" s="126"/>
      <c r="AD155" s="126"/>
      <c r="AE155" s="127"/>
      <c r="AF155" s="126"/>
      <c r="AG155" s="126"/>
      <c r="AH155" s="127"/>
      <c r="AI155" s="126"/>
      <c r="AJ155" s="127"/>
      <c r="AK155" s="127"/>
      <c r="AL155" s="129"/>
      <c r="AM155" s="129"/>
      <c r="AN155" s="44"/>
      <c r="AO155" s="44"/>
    </row>
    <row r="156" spans="2:41" ht="15.5">
      <c r="B156" s="125"/>
      <c r="C156" s="126"/>
      <c r="D156" s="126"/>
      <c r="E156" s="127"/>
      <c r="F156" s="128"/>
      <c r="G156" s="126"/>
      <c r="H156" s="127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5"/>
      <c r="X156" s="126"/>
      <c r="Y156" s="126"/>
      <c r="Z156" s="126"/>
      <c r="AA156" s="126"/>
      <c r="AB156" s="126"/>
      <c r="AC156" s="126"/>
      <c r="AD156" s="126"/>
      <c r="AE156" s="127"/>
      <c r="AF156" s="126"/>
      <c r="AG156" s="126"/>
      <c r="AH156" s="127"/>
      <c r="AI156" s="126"/>
      <c r="AJ156" s="127"/>
      <c r="AK156" s="127"/>
      <c r="AL156" s="129"/>
      <c r="AM156" s="129"/>
      <c r="AN156" s="44"/>
      <c r="AO156" s="44"/>
    </row>
    <row r="157" spans="2:41" ht="15.5">
      <c r="B157" s="125"/>
      <c r="C157" s="126"/>
      <c r="D157" s="126"/>
      <c r="E157" s="127"/>
      <c r="F157" s="128"/>
      <c r="G157" s="126"/>
      <c r="H157" s="127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5"/>
      <c r="X157" s="126"/>
      <c r="Y157" s="126"/>
      <c r="Z157" s="126"/>
      <c r="AA157" s="126"/>
      <c r="AB157" s="126"/>
      <c r="AC157" s="126"/>
      <c r="AD157" s="126"/>
      <c r="AE157" s="127"/>
      <c r="AF157" s="126"/>
      <c r="AG157" s="126"/>
      <c r="AH157" s="127"/>
      <c r="AI157" s="126"/>
      <c r="AJ157" s="127"/>
      <c r="AK157" s="127"/>
      <c r="AL157" s="129"/>
      <c r="AM157" s="129"/>
      <c r="AN157" s="44"/>
      <c r="AO157" s="44"/>
    </row>
    <row r="158" spans="2:41" ht="15.5">
      <c r="B158" s="125"/>
      <c r="C158" s="126"/>
      <c r="D158" s="126"/>
      <c r="E158" s="127"/>
      <c r="F158" s="128"/>
      <c r="G158" s="126"/>
      <c r="H158" s="127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5"/>
      <c r="X158" s="126"/>
      <c r="Y158" s="126"/>
      <c r="Z158" s="126"/>
      <c r="AA158" s="126"/>
      <c r="AB158" s="126"/>
      <c r="AC158" s="126"/>
      <c r="AD158" s="126"/>
      <c r="AE158" s="127"/>
      <c r="AF158" s="126"/>
      <c r="AG158" s="126"/>
      <c r="AH158" s="127"/>
      <c r="AI158" s="126"/>
      <c r="AJ158" s="127"/>
      <c r="AK158" s="127"/>
      <c r="AL158" s="129"/>
      <c r="AM158" s="129"/>
      <c r="AN158" s="44"/>
      <c r="AO158" s="44"/>
    </row>
    <row r="159" spans="2:41" ht="15.5">
      <c r="B159" s="125"/>
      <c r="C159" s="126"/>
      <c r="D159" s="126"/>
      <c r="E159" s="127"/>
      <c r="F159" s="128"/>
      <c r="G159" s="126"/>
      <c r="H159" s="127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5"/>
      <c r="X159" s="126"/>
      <c r="Y159" s="126"/>
      <c r="Z159" s="126"/>
      <c r="AA159" s="126"/>
      <c r="AB159" s="126"/>
      <c r="AC159" s="126"/>
      <c r="AD159" s="126"/>
      <c r="AE159" s="127"/>
      <c r="AF159" s="126"/>
      <c r="AG159" s="126"/>
      <c r="AH159" s="127"/>
      <c r="AI159" s="126"/>
      <c r="AJ159" s="127"/>
      <c r="AK159" s="127"/>
      <c r="AL159" s="129"/>
      <c r="AM159" s="129"/>
      <c r="AN159" s="44"/>
      <c r="AO159" s="44"/>
    </row>
    <row r="160" spans="2:41" ht="15.5">
      <c r="B160" s="125"/>
      <c r="C160" s="126"/>
      <c r="D160" s="126"/>
      <c r="E160" s="127"/>
      <c r="F160" s="128"/>
      <c r="G160" s="126"/>
      <c r="H160" s="127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5"/>
      <c r="X160" s="126"/>
      <c r="Y160" s="126"/>
      <c r="Z160" s="126"/>
      <c r="AA160" s="126"/>
      <c r="AB160" s="126"/>
      <c r="AC160" s="126"/>
      <c r="AD160" s="126"/>
      <c r="AE160" s="127"/>
      <c r="AF160" s="126"/>
      <c r="AG160" s="126"/>
      <c r="AH160" s="127"/>
      <c r="AI160" s="126"/>
      <c r="AJ160" s="127"/>
      <c r="AK160" s="127"/>
      <c r="AL160" s="129"/>
      <c r="AM160" s="129"/>
      <c r="AN160" s="44"/>
      <c r="AO160" s="44"/>
    </row>
    <row r="161" spans="2:41" ht="15.5">
      <c r="B161" s="125"/>
      <c r="C161" s="126"/>
      <c r="D161" s="126"/>
      <c r="E161" s="127"/>
      <c r="F161" s="128"/>
      <c r="G161" s="126"/>
      <c r="H161" s="127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5"/>
      <c r="X161" s="126"/>
      <c r="Y161" s="126"/>
      <c r="Z161" s="126"/>
      <c r="AA161" s="126"/>
      <c r="AB161" s="126"/>
      <c r="AC161" s="126"/>
      <c r="AD161" s="126"/>
      <c r="AE161" s="127"/>
      <c r="AF161" s="126"/>
      <c r="AG161" s="126"/>
      <c r="AH161" s="127"/>
      <c r="AI161" s="126"/>
      <c r="AJ161" s="127"/>
      <c r="AK161" s="127"/>
      <c r="AL161" s="129"/>
      <c r="AM161" s="129"/>
      <c r="AN161" s="44"/>
      <c r="AO161" s="44"/>
    </row>
    <row r="162" spans="2:41" ht="15.5">
      <c r="B162" s="125"/>
      <c r="C162" s="126"/>
      <c r="D162" s="126"/>
      <c r="E162" s="127"/>
      <c r="F162" s="128"/>
      <c r="G162" s="126"/>
      <c r="H162" s="127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5"/>
      <c r="X162" s="126"/>
      <c r="Y162" s="126"/>
      <c r="Z162" s="126"/>
      <c r="AA162" s="126"/>
      <c r="AB162" s="126"/>
      <c r="AC162" s="126"/>
      <c r="AD162" s="126"/>
      <c r="AE162" s="127"/>
      <c r="AF162" s="126"/>
      <c r="AG162" s="126"/>
      <c r="AH162" s="127"/>
      <c r="AI162" s="126"/>
      <c r="AJ162" s="127"/>
      <c r="AK162" s="127"/>
      <c r="AL162" s="129"/>
      <c r="AM162" s="129"/>
      <c r="AN162" s="44"/>
      <c r="AO162" s="44"/>
    </row>
    <row r="163" spans="2:41" ht="15.5">
      <c r="B163" s="125"/>
      <c r="C163" s="126"/>
      <c r="D163" s="126"/>
      <c r="E163" s="127"/>
      <c r="F163" s="128"/>
      <c r="G163" s="126"/>
      <c r="H163" s="127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5"/>
      <c r="X163" s="126"/>
      <c r="Y163" s="126"/>
      <c r="Z163" s="126"/>
      <c r="AA163" s="126"/>
      <c r="AB163" s="126"/>
      <c r="AC163" s="126"/>
      <c r="AD163" s="126"/>
      <c r="AE163" s="127"/>
      <c r="AF163" s="126"/>
      <c r="AG163" s="126"/>
      <c r="AH163" s="127"/>
      <c r="AI163" s="126"/>
      <c r="AJ163" s="127"/>
      <c r="AK163" s="127"/>
      <c r="AL163" s="129"/>
      <c r="AM163" s="129"/>
      <c r="AN163" s="44"/>
      <c r="AO163" s="44"/>
    </row>
    <row r="164" spans="2:41" ht="15.5">
      <c r="B164" s="125"/>
      <c r="C164" s="126"/>
      <c r="D164" s="126"/>
      <c r="E164" s="127"/>
      <c r="F164" s="128"/>
      <c r="G164" s="126"/>
      <c r="H164" s="127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5"/>
      <c r="X164" s="126"/>
      <c r="Y164" s="126"/>
      <c r="Z164" s="126"/>
      <c r="AA164" s="126"/>
      <c r="AB164" s="126"/>
      <c r="AC164" s="126"/>
      <c r="AD164" s="126"/>
      <c r="AE164" s="127"/>
      <c r="AF164" s="126"/>
      <c r="AG164" s="126"/>
      <c r="AH164" s="127"/>
      <c r="AI164" s="126"/>
      <c r="AJ164" s="127"/>
      <c r="AK164" s="127"/>
      <c r="AL164" s="129"/>
      <c r="AM164" s="129"/>
      <c r="AN164" s="44"/>
      <c r="AO164" s="44"/>
    </row>
    <row r="165" spans="2:41" ht="15.5">
      <c r="B165" s="125"/>
      <c r="C165" s="126"/>
      <c r="D165" s="126"/>
      <c r="E165" s="127"/>
      <c r="F165" s="128"/>
      <c r="G165" s="126"/>
      <c r="H165" s="127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5"/>
      <c r="X165" s="126"/>
      <c r="Y165" s="126"/>
      <c r="Z165" s="126"/>
      <c r="AA165" s="126"/>
      <c r="AB165" s="126"/>
      <c r="AC165" s="126"/>
      <c r="AD165" s="126"/>
      <c r="AE165" s="127"/>
      <c r="AF165" s="126"/>
      <c r="AG165" s="126"/>
      <c r="AH165" s="127"/>
      <c r="AI165" s="126"/>
      <c r="AJ165" s="127"/>
      <c r="AK165" s="127"/>
      <c r="AL165" s="129"/>
      <c r="AM165" s="129"/>
      <c r="AN165" s="44"/>
      <c r="AO165" s="44"/>
    </row>
    <row r="166" spans="2:41" ht="15.5">
      <c r="B166" s="125"/>
      <c r="C166" s="126"/>
      <c r="D166" s="126"/>
      <c r="E166" s="127"/>
      <c r="F166" s="128"/>
      <c r="G166" s="126"/>
      <c r="H166" s="127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5"/>
      <c r="X166" s="126"/>
      <c r="Y166" s="126"/>
      <c r="Z166" s="126"/>
      <c r="AA166" s="126"/>
      <c r="AB166" s="126"/>
      <c r="AC166" s="126"/>
      <c r="AD166" s="126"/>
      <c r="AE166" s="127"/>
      <c r="AF166" s="126"/>
      <c r="AG166" s="126"/>
      <c r="AH166" s="127"/>
      <c r="AI166" s="126"/>
      <c r="AJ166" s="127"/>
      <c r="AK166" s="127"/>
      <c r="AL166" s="129"/>
      <c r="AM166" s="129"/>
      <c r="AN166" s="44"/>
      <c r="AO166" s="44"/>
    </row>
    <row r="167" spans="2:41" ht="15.5">
      <c r="B167" s="125"/>
      <c r="C167" s="126"/>
      <c r="D167" s="126"/>
      <c r="E167" s="127"/>
      <c r="F167" s="128"/>
      <c r="G167" s="126"/>
      <c r="H167" s="127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5"/>
      <c r="X167" s="126"/>
      <c r="Y167" s="126"/>
      <c r="Z167" s="126"/>
      <c r="AA167" s="126"/>
      <c r="AB167" s="126"/>
      <c r="AC167" s="126"/>
      <c r="AD167" s="126"/>
      <c r="AE167" s="127"/>
      <c r="AF167" s="126"/>
      <c r="AG167" s="126"/>
      <c r="AH167" s="127"/>
      <c r="AI167" s="126"/>
      <c r="AJ167" s="127"/>
      <c r="AK167" s="127"/>
      <c r="AL167" s="129"/>
      <c r="AM167" s="129"/>
      <c r="AN167" s="44"/>
      <c r="AO167" s="44"/>
    </row>
    <row r="168" spans="2:41" ht="15.5">
      <c r="B168" s="125"/>
      <c r="C168" s="126"/>
      <c r="D168" s="126"/>
      <c r="E168" s="127"/>
      <c r="F168" s="128"/>
      <c r="G168" s="126"/>
      <c r="H168" s="127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5"/>
      <c r="X168" s="126"/>
      <c r="Y168" s="126"/>
      <c r="Z168" s="126"/>
      <c r="AA168" s="126"/>
      <c r="AB168" s="126"/>
      <c r="AC168" s="126"/>
      <c r="AD168" s="126"/>
      <c r="AE168" s="127"/>
      <c r="AF168" s="126"/>
      <c r="AG168" s="126"/>
      <c r="AH168" s="127"/>
      <c r="AI168" s="126"/>
      <c r="AJ168" s="127"/>
      <c r="AK168" s="127"/>
      <c r="AL168" s="129"/>
      <c r="AM168" s="129"/>
      <c r="AN168" s="44"/>
      <c r="AO168" s="44"/>
    </row>
    <row r="169" spans="2:41" ht="15.5">
      <c r="B169" s="125"/>
      <c r="C169" s="126"/>
      <c r="D169" s="126"/>
      <c r="E169" s="127"/>
      <c r="F169" s="128"/>
      <c r="G169" s="126"/>
      <c r="H169" s="127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5"/>
      <c r="X169" s="126"/>
      <c r="Y169" s="126"/>
      <c r="Z169" s="126"/>
      <c r="AA169" s="126"/>
      <c r="AB169" s="126"/>
      <c r="AC169" s="126"/>
      <c r="AD169" s="126"/>
      <c r="AE169" s="127"/>
      <c r="AF169" s="126"/>
      <c r="AG169" s="126"/>
      <c r="AH169" s="127"/>
      <c r="AI169" s="126"/>
      <c r="AJ169" s="127"/>
      <c r="AK169" s="127"/>
      <c r="AL169" s="129"/>
      <c r="AM169" s="129"/>
      <c r="AN169" s="44"/>
      <c r="AO169" s="44"/>
    </row>
    <row r="170" spans="2:41" ht="15.5">
      <c r="B170" s="125"/>
      <c r="C170" s="126"/>
      <c r="D170" s="126"/>
      <c r="E170" s="127"/>
      <c r="F170" s="128"/>
      <c r="G170" s="126"/>
      <c r="H170" s="127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5"/>
      <c r="X170" s="126"/>
      <c r="Y170" s="126"/>
      <c r="Z170" s="126"/>
      <c r="AA170" s="126"/>
      <c r="AB170" s="126"/>
      <c r="AC170" s="126"/>
      <c r="AD170" s="126"/>
      <c r="AE170" s="127"/>
      <c r="AF170" s="126"/>
      <c r="AG170" s="126"/>
      <c r="AH170" s="127"/>
      <c r="AI170" s="126"/>
      <c r="AJ170" s="127"/>
      <c r="AK170" s="127"/>
      <c r="AL170" s="129"/>
      <c r="AM170" s="129"/>
      <c r="AN170" s="44"/>
      <c r="AO170" s="44"/>
    </row>
    <row r="171" spans="2:41" ht="15.5">
      <c r="B171" s="125"/>
      <c r="C171" s="126"/>
      <c r="D171" s="126"/>
      <c r="E171" s="127"/>
      <c r="F171" s="128"/>
      <c r="G171" s="126"/>
      <c r="H171" s="127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5"/>
      <c r="X171" s="126"/>
      <c r="Y171" s="126"/>
      <c r="Z171" s="126"/>
      <c r="AA171" s="126"/>
      <c r="AB171" s="126"/>
      <c r="AC171" s="126"/>
      <c r="AD171" s="126"/>
      <c r="AE171" s="127"/>
      <c r="AF171" s="126"/>
      <c r="AG171" s="126"/>
      <c r="AH171" s="127"/>
      <c r="AI171" s="126"/>
      <c r="AJ171" s="127"/>
      <c r="AK171" s="127"/>
      <c r="AL171" s="129"/>
      <c r="AM171" s="129"/>
      <c r="AN171" s="44"/>
      <c r="AO171" s="44"/>
    </row>
    <row r="172" spans="2:41" ht="15.5">
      <c r="B172" s="125"/>
      <c r="C172" s="126"/>
      <c r="D172" s="126"/>
      <c r="E172" s="127"/>
      <c r="F172" s="128"/>
      <c r="G172" s="126"/>
      <c r="H172" s="127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5"/>
      <c r="X172" s="126"/>
      <c r="Y172" s="126"/>
      <c r="Z172" s="126"/>
      <c r="AA172" s="126"/>
      <c r="AB172" s="126"/>
      <c r="AC172" s="126"/>
      <c r="AD172" s="126"/>
      <c r="AE172" s="127"/>
      <c r="AF172" s="126"/>
      <c r="AG172" s="126"/>
      <c r="AH172" s="127"/>
      <c r="AI172" s="126"/>
      <c r="AJ172" s="127"/>
      <c r="AK172" s="127"/>
      <c r="AL172" s="129"/>
      <c r="AM172" s="129"/>
      <c r="AN172" s="44"/>
      <c r="AO172" s="44"/>
    </row>
    <row r="173" spans="2:41" ht="15.5">
      <c r="B173" s="125"/>
      <c r="C173" s="126"/>
      <c r="D173" s="126"/>
      <c r="E173" s="127"/>
      <c r="F173" s="128"/>
      <c r="G173" s="126"/>
      <c r="H173" s="127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5"/>
      <c r="X173" s="126"/>
      <c r="Y173" s="126"/>
      <c r="Z173" s="126"/>
      <c r="AA173" s="126"/>
      <c r="AB173" s="126"/>
      <c r="AC173" s="126"/>
      <c r="AD173" s="126"/>
      <c r="AE173" s="127"/>
      <c r="AF173" s="126"/>
      <c r="AG173" s="126"/>
      <c r="AH173" s="127"/>
      <c r="AI173" s="126"/>
      <c r="AJ173" s="127"/>
      <c r="AK173" s="127"/>
      <c r="AL173" s="129"/>
      <c r="AM173" s="129"/>
      <c r="AN173" s="44"/>
      <c r="AO173" s="44"/>
    </row>
    <row r="174" spans="2:41" ht="15.5">
      <c r="B174" s="125"/>
      <c r="C174" s="126"/>
      <c r="D174" s="126"/>
      <c r="E174" s="127"/>
      <c r="F174" s="128"/>
      <c r="G174" s="126"/>
      <c r="H174" s="127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5"/>
      <c r="X174" s="126"/>
      <c r="Y174" s="126"/>
      <c r="Z174" s="126"/>
      <c r="AA174" s="126"/>
      <c r="AB174" s="126"/>
      <c r="AC174" s="126"/>
      <c r="AD174" s="126"/>
      <c r="AE174" s="127"/>
      <c r="AF174" s="126"/>
      <c r="AG174" s="126"/>
      <c r="AH174" s="127"/>
      <c r="AI174" s="126"/>
      <c r="AJ174" s="127"/>
      <c r="AK174" s="127"/>
      <c r="AL174" s="129"/>
      <c r="AM174" s="129"/>
      <c r="AN174" s="44"/>
      <c r="AO174" s="44"/>
    </row>
    <row r="175" spans="2:41" ht="15.5">
      <c r="B175" s="125"/>
      <c r="C175" s="126"/>
      <c r="D175" s="126"/>
      <c r="E175" s="127"/>
      <c r="F175" s="128"/>
      <c r="G175" s="126"/>
      <c r="H175" s="127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5"/>
      <c r="X175" s="126"/>
      <c r="Y175" s="126"/>
      <c r="Z175" s="126"/>
      <c r="AA175" s="126"/>
      <c r="AB175" s="126"/>
      <c r="AC175" s="126"/>
      <c r="AD175" s="126"/>
      <c r="AE175" s="127"/>
      <c r="AF175" s="126"/>
      <c r="AG175" s="126"/>
      <c r="AH175" s="127"/>
      <c r="AI175" s="126"/>
      <c r="AJ175" s="127"/>
      <c r="AK175" s="127"/>
      <c r="AL175" s="129"/>
      <c r="AM175" s="129"/>
      <c r="AN175" s="44"/>
      <c r="AO175" s="44"/>
    </row>
    <row r="176" spans="2:41" ht="15.5">
      <c r="B176" s="125"/>
      <c r="C176" s="126"/>
      <c r="D176" s="126"/>
      <c r="E176" s="127"/>
      <c r="F176" s="128"/>
      <c r="G176" s="126"/>
      <c r="H176" s="127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5"/>
      <c r="X176" s="126"/>
      <c r="Y176" s="126"/>
      <c r="Z176" s="126"/>
      <c r="AA176" s="126"/>
      <c r="AB176" s="126"/>
      <c r="AC176" s="126"/>
      <c r="AD176" s="126"/>
      <c r="AE176" s="127"/>
      <c r="AF176" s="126"/>
      <c r="AG176" s="126"/>
      <c r="AH176" s="127"/>
      <c r="AI176" s="126"/>
      <c r="AJ176" s="127"/>
      <c r="AK176" s="127"/>
      <c r="AL176" s="129"/>
      <c r="AM176" s="129"/>
      <c r="AN176" s="44"/>
      <c r="AO176" s="44"/>
    </row>
    <row r="177" spans="2:41" ht="15.5">
      <c r="B177" s="125"/>
      <c r="C177" s="126"/>
      <c r="D177" s="126"/>
      <c r="E177" s="127"/>
      <c r="F177" s="128"/>
      <c r="G177" s="126"/>
      <c r="H177" s="127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5"/>
      <c r="X177" s="126"/>
      <c r="Y177" s="126"/>
      <c r="Z177" s="126"/>
      <c r="AA177" s="126"/>
      <c r="AB177" s="126"/>
      <c r="AC177" s="126"/>
      <c r="AD177" s="126"/>
      <c r="AE177" s="127"/>
      <c r="AF177" s="126"/>
      <c r="AG177" s="126"/>
      <c r="AH177" s="127"/>
      <c r="AI177" s="126"/>
      <c r="AJ177" s="127"/>
      <c r="AK177" s="127"/>
      <c r="AL177" s="129"/>
      <c r="AM177" s="129"/>
      <c r="AN177" s="44"/>
      <c r="AO177" s="44"/>
    </row>
    <row r="178" spans="2:41" ht="15.5">
      <c r="B178" s="125"/>
      <c r="C178" s="126"/>
      <c r="D178" s="126"/>
      <c r="E178" s="127"/>
      <c r="F178" s="128"/>
      <c r="G178" s="126"/>
      <c r="H178" s="127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5"/>
      <c r="X178" s="126"/>
      <c r="Y178" s="126"/>
      <c r="Z178" s="126"/>
      <c r="AA178" s="126"/>
      <c r="AB178" s="126"/>
      <c r="AC178" s="126"/>
      <c r="AD178" s="126"/>
      <c r="AE178" s="127"/>
      <c r="AF178" s="126"/>
      <c r="AG178" s="126"/>
      <c r="AH178" s="127"/>
      <c r="AI178" s="126"/>
      <c r="AJ178" s="127"/>
      <c r="AK178" s="127"/>
      <c r="AL178" s="129"/>
      <c r="AM178" s="129"/>
      <c r="AN178" s="44"/>
      <c r="AO178" s="44"/>
    </row>
    <row r="179" spans="2:41" ht="15.5">
      <c r="B179" s="125"/>
      <c r="C179" s="126"/>
      <c r="D179" s="126"/>
      <c r="E179" s="127"/>
      <c r="F179" s="128"/>
      <c r="G179" s="126"/>
      <c r="H179" s="127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5"/>
      <c r="X179" s="126"/>
      <c r="Y179" s="126"/>
      <c r="Z179" s="126"/>
      <c r="AA179" s="126"/>
      <c r="AB179" s="126"/>
      <c r="AC179" s="126"/>
      <c r="AD179" s="126"/>
      <c r="AE179" s="127"/>
      <c r="AF179" s="126"/>
      <c r="AG179" s="126"/>
      <c r="AH179" s="127"/>
      <c r="AI179" s="126"/>
      <c r="AJ179" s="127"/>
      <c r="AK179" s="127"/>
      <c r="AL179" s="129"/>
      <c r="AM179" s="129"/>
      <c r="AN179" s="44"/>
      <c r="AO179" s="44"/>
    </row>
    <row r="180" spans="2:41" ht="15.5">
      <c r="B180" s="125"/>
      <c r="C180" s="126"/>
      <c r="D180" s="126"/>
      <c r="E180" s="127"/>
      <c r="F180" s="128"/>
      <c r="G180" s="126"/>
      <c r="H180" s="127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5"/>
      <c r="X180" s="126"/>
      <c r="Y180" s="126"/>
      <c r="Z180" s="126"/>
      <c r="AA180" s="126"/>
      <c r="AB180" s="126"/>
      <c r="AC180" s="126"/>
      <c r="AD180" s="126"/>
      <c r="AE180" s="127"/>
      <c r="AF180" s="126"/>
      <c r="AG180" s="126"/>
      <c r="AH180" s="127"/>
      <c r="AI180" s="126"/>
      <c r="AJ180" s="127"/>
      <c r="AK180" s="127"/>
      <c r="AL180" s="129"/>
      <c r="AM180" s="129"/>
      <c r="AN180" s="44"/>
      <c r="AO180" s="44"/>
    </row>
    <row r="181" spans="2:41" ht="15.5">
      <c r="B181" s="125"/>
      <c r="C181" s="126"/>
      <c r="D181" s="126"/>
      <c r="E181" s="127"/>
      <c r="F181" s="128"/>
      <c r="G181" s="126"/>
      <c r="H181" s="127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5"/>
      <c r="X181" s="126"/>
      <c r="Y181" s="126"/>
      <c r="Z181" s="126"/>
      <c r="AA181" s="126"/>
      <c r="AB181" s="126"/>
      <c r="AC181" s="126"/>
      <c r="AD181" s="126"/>
      <c r="AE181" s="127"/>
      <c r="AF181" s="126"/>
      <c r="AG181" s="126"/>
      <c r="AH181" s="127"/>
      <c r="AI181" s="126"/>
      <c r="AJ181" s="127"/>
      <c r="AK181" s="127"/>
      <c r="AL181" s="129"/>
      <c r="AM181" s="129"/>
      <c r="AN181" s="44"/>
      <c r="AO181" s="44"/>
    </row>
    <row r="182" spans="2:41" ht="15.5">
      <c r="B182" s="125"/>
      <c r="C182" s="126"/>
      <c r="D182" s="126"/>
      <c r="E182" s="127"/>
      <c r="F182" s="128"/>
      <c r="G182" s="126"/>
      <c r="H182" s="127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5"/>
      <c r="X182" s="126"/>
      <c r="Y182" s="126"/>
      <c r="Z182" s="126"/>
      <c r="AA182" s="126"/>
      <c r="AB182" s="126"/>
      <c r="AC182" s="126"/>
      <c r="AD182" s="126"/>
      <c r="AE182" s="127"/>
      <c r="AF182" s="126"/>
      <c r="AG182" s="126"/>
      <c r="AH182" s="127"/>
      <c r="AI182" s="126"/>
      <c r="AJ182" s="127"/>
      <c r="AK182" s="127"/>
      <c r="AL182" s="129"/>
      <c r="AM182" s="129"/>
      <c r="AN182" s="44"/>
      <c r="AO182" s="44"/>
    </row>
    <row r="183" spans="2:41" ht="15.5">
      <c r="B183" s="125"/>
      <c r="C183" s="126"/>
      <c r="D183" s="126"/>
      <c r="E183" s="127"/>
      <c r="F183" s="128"/>
      <c r="G183" s="126"/>
      <c r="H183" s="127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5"/>
      <c r="X183" s="126"/>
      <c r="Y183" s="126"/>
      <c r="Z183" s="126"/>
      <c r="AA183" s="126"/>
      <c r="AB183" s="126"/>
      <c r="AC183" s="126"/>
      <c r="AD183" s="126"/>
      <c r="AE183" s="127"/>
      <c r="AF183" s="126"/>
      <c r="AG183" s="126"/>
      <c r="AH183" s="127"/>
      <c r="AI183" s="126"/>
      <c r="AJ183" s="127"/>
      <c r="AK183" s="127"/>
      <c r="AL183" s="129"/>
      <c r="AM183" s="129"/>
      <c r="AN183" s="44"/>
      <c r="AO183" s="44"/>
    </row>
    <row r="184" spans="2:41" ht="15.5">
      <c r="B184" s="125"/>
      <c r="C184" s="126"/>
      <c r="D184" s="126"/>
      <c r="E184" s="127"/>
      <c r="F184" s="128"/>
      <c r="G184" s="126"/>
      <c r="H184" s="127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5"/>
      <c r="X184" s="126"/>
      <c r="Y184" s="126"/>
      <c r="Z184" s="126"/>
      <c r="AA184" s="126"/>
      <c r="AB184" s="126"/>
      <c r="AC184" s="126"/>
      <c r="AD184" s="126"/>
      <c r="AE184" s="127"/>
      <c r="AF184" s="126"/>
      <c r="AG184" s="126"/>
      <c r="AH184" s="127"/>
      <c r="AI184" s="126"/>
      <c r="AJ184" s="127"/>
      <c r="AK184" s="127"/>
      <c r="AL184" s="129"/>
      <c r="AM184" s="129"/>
      <c r="AN184" s="44"/>
      <c r="AO184" s="44"/>
    </row>
    <row r="185" spans="2:41" ht="15.5">
      <c r="B185" s="125"/>
      <c r="C185" s="126"/>
      <c r="D185" s="126"/>
      <c r="E185" s="127"/>
      <c r="F185" s="128"/>
      <c r="G185" s="126"/>
      <c r="H185" s="127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5"/>
      <c r="X185" s="126"/>
      <c r="Y185" s="126"/>
      <c r="Z185" s="126"/>
      <c r="AA185" s="126"/>
      <c r="AB185" s="126"/>
      <c r="AC185" s="126"/>
      <c r="AD185" s="126"/>
      <c r="AE185" s="127"/>
      <c r="AF185" s="126"/>
      <c r="AG185" s="126"/>
      <c r="AH185" s="127"/>
      <c r="AI185" s="126"/>
      <c r="AJ185" s="127"/>
      <c r="AK185" s="127"/>
      <c r="AL185" s="129"/>
      <c r="AM185" s="129"/>
      <c r="AN185" s="44"/>
      <c r="AO185" s="44"/>
    </row>
    <row r="186" spans="2:41" ht="15.5">
      <c r="B186" s="125"/>
      <c r="C186" s="126"/>
      <c r="D186" s="126"/>
      <c r="E186" s="127"/>
      <c r="F186" s="128"/>
      <c r="G186" s="126"/>
      <c r="H186" s="127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5"/>
      <c r="X186" s="126"/>
      <c r="Y186" s="126"/>
      <c r="Z186" s="126"/>
      <c r="AA186" s="126"/>
      <c r="AB186" s="126"/>
      <c r="AC186" s="126"/>
      <c r="AD186" s="126"/>
      <c r="AE186" s="127"/>
      <c r="AF186" s="126"/>
      <c r="AG186" s="126"/>
      <c r="AH186" s="127"/>
      <c r="AI186" s="126"/>
      <c r="AJ186" s="127"/>
      <c r="AK186" s="127"/>
      <c r="AL186" s="129"/>
      <c r="AM186" s="129"/>
      <c r="AN186" s="44"/>
      <c r="AO186" s="44"/>
    </row>
    <row r="187" spans="2:41" ht="15.5">
      <c r="B187" s="125"/>
      <c r="C187" s="126"/>
      <c r="D187" s="126"/>
      <c r="E187" s="127"/>
      <c r="F187" s="128"/>
      <c r="G187" s="126"/>
      <c r="H187" s="127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5"/>
      <c r="X187" s="126"/>
      <c r="Y187" s="126"/>
      <c r="Z187" s="126"/>
      <c r="AA187" s="126"/>
      <c r="AB187" s="126"/>
      <c r="AC187" s="126"/>
      <c r="AD187" s="126"/>
      <c r="AE187" s="127"/>
      <c r="AF187" s="126"/>
      <c r="AG187" s="126"/>
      <c r="AH187" s="127"/>
      <c r="AI187" s="126"/>
      <c r="AJ187" s="127"/>
      <c r="AK187" s="127"/>
      <c r="AL187" s="129"/>
      <c r="AM187" s="129"/>
      <c r="AN187" s="44"/>
      <c r="AO187" s="44"/>
    </row>
    <row r="188" spans="2:41" ht="15.5">
      <c r="B188" s="125"/>
      <c r="C188" s="126"/>
      <c r="D188" s="126"/>
      <c r="E188" s="127"/>
      <c r="F188" s="128"/>
      <c r="G188" s="126"/>
      <c r="H188" s="127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5"/>
      <c r="X188" s="126"/>
      <c r="Y188" s="126"/>
      <c r="Z188" s="126"/>
      <c r="AA188" s="126"/>
      <c r="AB188" s="126"/>
      <c r="AC188" s="126"/>
      <c r="AD188" s="126"/>
      <c r="AE188" s="127"/>
      <c r="AF188" s="126"/>
      <c r="AG188" s="126"/>
      <c r="AH188" s="127"/>
      <c r="AI188" s="126"/>
      <c r="AJ188" s="127"/>
      <c r="AK188" s="127"/>
      <c r="AL188" s="129"/>
      <c r="AM188" s="129"/>
      <c r="AN188" s="44"/>
      <c r="AO188" s="44"/>
    </row>
    <row r="189" spans="2:41" ht="15.5">
      <c r="B189" s="125"/>
      <c r="C189" s="126"/>
      <c r="D189" s="126"/>
      <c r="E189" s="127"/>
      <c r="F189" s="128"/>
      <c r="G189" s="126"/>
      <c r="H189" s="127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5"/>
      <c r="X189" s="126"/>
      <c r="Y189" s="126"/>
      <c r="Z189" s="126"/>
      <c r="AA189" s="126"/>
      <c r="AB189" s="126"/>
      <c r="AC189" s="126"/>
      <c r="AD189" s="126"/>
      <c r="AE189" s="127"/>
      <c r="AF189" s="126"/>
      <c r="AG189" s="126"/>
      <c r="AH189" s="127"/>
      <c r="AI189" s="126"/>
      <c r="AJ189" s="127"/>
      <c r="AK189" s="127"/>
      <c r="AL189" s="129"/>
      <c r="AM189" s="129"/>
      <c r="AN189" s="44"/>
      <c r="AO189" s="44"/>
    </row>
    <row r="190" spans="2:41" ht="15.5">
      <c r="B190" s="125"/>
      <c r="C190" s="126"/>
      <c r="D190" s="126"/>
      <c r="E190" s="127"/>
      <c r="F190" s="128"/>
      <c r="G190" s="126"/>
      <c r="H190" s="127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5"/>
      <c r="X190" s="126"/>
      <c r="Y190" s="126"/>
      <c r="Z190" s="126"/>
      <c r="AA190" s="126"/>
      <c r="AB190" s="126"/>
      <c r="AC190" s="126"/>
      <c r="AD190" s="126"/>
      <c r="AE190" s="127"/>
      <c r="AF190" s="126"/>
      <c r="AG190" s="126"/>
      <c r="AH190" s="127"/>
      <c r="AI190" s="126"/>
      <c r="AJ190" s="127"/>
      <c r="AK190" s="127"/>
      <c r="AL190" s="129"/>
      <c r="AM190" s="129"/>
      <c r="AN190" s="44"/>
      <c r="AO190" s="44"/>
    </row>
    <row r="191" spans="2:41" ht="15.5">
      <c r="B191" s="125"/>
      <c r="C191" s="126"/>
      <c r="D191" s="126"/>
      <c r="E191" s="127"/>
      <c r="F191" s="128"/>
      <c r="G191" s="126"/>
      <c r="H191" s="127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5"/>
      <c r="X191" s="126"/>
      <c r="Y191" s="126"/>
      <c r="Z191" s="126"/>
      <c r="AA191" s="126"/>
      <c r="AB191" s="126"/>
      <c r="AC191" s="126"/>
      <c r="AD191" s="126"/>
      <c r="AE191" s="127"/>
      <c r="AF191" s="126"/>
      <c r="AG191" s="126"/>
      <c r="AH191" s="127"/>
      <c r="AI191" s="126"/>
      <c r="AJ191" s="127"/>
      <c r="AK191" s="127"/>
      <c r="AL191" s="129"/>
      <c r="AM191" s="129"/>
      <c r="AN191" s="44"/>
      <c r="AO191" s="44"/>
    </row>
    <row r="192" spans="2:41" ht="15.5">
      <c r="B192" s="125"/>
      <c r="C192" s="126"/>
      <c r="D192" s="126"/>
      <c r="E192" s="127"/>
      <c r="F192" s="128"/>
      <c r="G192" s="126"/>
      <c r="H192" s="127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5"/>
      <c r="X192" s="126"/>
      <c r="Y192" s="126"/>
      <c r="Z192" s="126"/>
      <c r="AA192" s="126"/>
      <c r="AB192" s="126"/>
      <c r="AC192" s="126"/>
      <c r="AD192" s="126"/>
      <c r="AE192" s="127"/>
      <c r="AF192" s="126"/>
      <c r="AG192" s="126"/>
      <c r="AH192" s="127"/>
      <c r="AI192" s="126"/>
      <c r="AJ192" s="127"/>
      <c r="AK192" s="127"/>
      <c r="AL192" s="129"/>
      <c r="AM192" s="129"/>
      <c r="AN192" s="44"/>
      <c r="AO192" s="44"/>
    </row>
    <row r="193" spans="2:41" ht="15.5">
      <c r="B193" s="125"/>
      <c r="C193" s="126"/>
      <c r="D193" s="126"/>
      <c r="E193" s="127"/>
      <c r="F193" s="128"/>
      <c r="G193" s="126"/>
      <c r="H193" s="127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5"/>
      <c r="X193" s="126"/>
      <c r="Y193" s="126"/>
      <c r="Z193" s="126"/>
      <c r="AA193" s="126"/>
      <c r="AB193" s="126"/>
      <c r="AC193" s="126"/>
      <c r="AD193" s="126"/>
      <c r="AE193" s="127"/>
      <c r="AF193" s="126"/>
      <c r="AG193" s="126"/>
      <c r="AH193" s="127"/>
      <c r="AI193" s="126"/>
      <c r="AJ193" s="127"/>
      <c r="AK193" s="127"/>
      <c r="AL193" s="129"/>
      <c r="AM193" s="129"/>
      <c r="AN193" s="44"/>
      <c r="AO193" s="44"/>
    </row>
    <row r="194" spans="2:41" ht="15.5">
      <c r="B194" s="125"/>
      <c r="C194" s="126"/>
      <c r="D194" s="126"/>
      <c r="E194" s="127"/>
      <c r="F194" s="128"/>
      <c r="G194" s="126"/>
      <c r="H194" s="127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5"/>
      <c r="X194" s="126"/>
      <c r="Y194" s="126"/>
      <c r="Z194" s="126"/>
      <c r="AA194" s="126"/>
      <c r="AB194" s="126"/>
      <c r="AC194" s="126"/>
      <c r="AD194" s="126"/>
      <c r="AE194" s="127"/>
      <c r="AF194" s="126"/>
      <c r="AG194" s="126"/>
      <c r="AH194" s="127"/>
      <c r="AI194" s="126"/>
      <c r="AJ194" s="127"/>
      <c r="AK194" s="127"/>
      <c r="AL194" s="129"/>
      <c r="AM194" s="129"/>
      <c r="AN194" s="44"/>
      <c r="AO194" s="44"/>
    </row>
    <row r="195" spans="2:41" ht="15.5">
      <c r="B195" s="125"/>
      <c r="C195" s="126"/>
      <c r="D195" s="126"/>
      <c r="E195" s="127"/>
      <c r="F195" s="128"/>
      <c r="G195" s="126"/>
      <c r="H195" s="127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5"/>
      <c r="X195" s="126"/>
      <c r="Y195" s="126"/>
      <c r="Z195" s="126"/>
      <c r="AA195" s="126"/>
      <c r="AB195" s="126"/>
      <c r="AC195" s="126"/>
      <c r="AD195" s="126"/>
      <c r="AE195" s="127"/>
      <c r="AF195" s="126"/>
      <c r="AG195" s="126"/>
      <c r="AH195" s="127"/>
      <c r="AI195" s="126"/>
      <c r="AJ195" s="127"/>
      <c r="AK195" s="127"/>
      <c r="AL195" s="129"/>
      <c r="AM195" s="129"/>
      <c r="AN195" s="44"/>
      <c r="AO195" s="44"/>
    </row>
    <row r="196" spans="2:41" ht="15.5">
      <c r="B196" s="125"/>
      <c r="C196" s="126"/>
      <c r="D196" s="126"/>
      <c r="E196" s="127"/>
      <c r="F196" s="128"/>
      <c r="G196" s="126"/>
      <c r="H196" s="127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5"/>
      <c r="X196" s="126"/>
      <c r="Y196" s="126"/>
      <c r="Z196" s="126"/>
      <c r="AA196" s="126"/>
      <c r="AB196" s="126"/>
      <c r="AC196" s="126"/>
      <c r="AD196" s="126"/>
      <c r="AE196" s="127"/>
      <c r="AF196" s="126"/>
      <c r="AG196" s="126"/>
      <c r="AH196" s="127"/>
      <c r="AI196" s="126"/>
      <c r="AJ196" s="127"/>
      <c r="AK196" s="127"/>
      <c r="AL196" s="129"/>
      <c r="AM196" s="129"/>
      <c r="AN196" s="44"/>
      <c r="AO196" s="44"/>
    </row>
    <row r="197" spans="2:41" ht="15.5">
      <c r="B197" s="125"/>
      <c r="C197" s="126"/>
      <c r="D197" s="126"/>
      <c r="E197" s="127"/>
      <c r="F197" s="128"/>
      <c r="G197" s="126"/>
      <c r="H197" s="127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5"/>
      <c r="X197" s="126"/>
      <c r="Y197" s="126"/>
      <c r="Z197" s="126"/>
      <c r="AA197" s="126"/>
      <c r="AB197" s="126"/>
      <c r="AC197" s="126"/>
      <c r="AD197" s="126"/>
      <c r="AE197" s="127"/>
      <c r="AF197" s="126"/>
      <c r="AG197" s="126"/>
      <c r="AH197" s="127"/>
      <c r="AI197" s="126"/>
      <c r="AJ197" s="127"/>
      <c r="AK197" s="127"/>
      <c r="AL197" s="129"/>
      <c r="AM197" s="129"/>
      <c r="AN197" s="44"/>
      <c r="AO197" s="44"/>
    </row>
    <row r="198" spans="2:41" ht="15.5">
      <c r="B198" s="125"/>
      <c r="C198" s="126"/>
      <c r="D198" s="126"/>
      <c r="E198" s="127"/>
      <c r="F198" s="128"/>
      <c r="G198" s="126"/>
      <c r="H198" s="127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5"/>
      <c r="X198" s="126"/>
      <c r="Y198" s="126"/>
      <c r="Z198" s="126"/>
      <c r="AA198" s="126"/>
      <c r="AB198" s="126"/>
      <c r="AC198" s="126"/>
      <c r="AD198" s="126"/>
      <c r="AE198" s="127"/>
      <c r="AF198" s="126"/>
      <c r="AG198" s="126"/>
      <c r="AH198" s="127"/>
      <c r="AI198" s="126"/>
      <c r="AJ198" s="127"/>
      <c r="AK198" s="127"/>
      <c r="AL198" s="129"/>
      <c r="AM198" s="129"/>
      <c r="AN198" s="44"/>
      <c r="AO198" s="44"/>
    </row>
    <row r="199" spans="2:41" ht="15.5">
      <c r="B199" s="125"/>
      <c r="C199" s="126"/>
      <c r="D199" s="126"/>
      <c r="E199" s="127"/>
      <c r="F199" s="128"/>
      <c r="G199" s="126"/>
      <c r="H199" s="127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5"/>
      <c r="X199" s="126"/>
      <c r="Y199" s="126"/>
      <c r="Z199" s="126"/>
      <c r="AA199" s="126"/>
      <c r="AB199" s="126"/>
      <c r="AC199" s="126"/>
      <c r="AD199" s="126"/>
      <c r="AE199" s="127"/>
      <c r="AF199" s="126"/>
      <c r="AG199" s="126"/>
      <c r="AH199" s="127"/>
      <c r="AI199" s="126"/>
      <c r="AJ199" s="127"/>
      <c r="AK199" s="127"/>
      <c r="AL199" s="129"/>
      <c r="AM199" s="129"/>
      <c r="AN199" s="44"/>
      <c r="AO199" s="44"/>
    </row>
    <row r="200" spans="2:41" ht="15.5">
      <c r="B200" s="125"/>
      <c r="C200" s="126"/>
      <c r="D200" s="126"/>
      <c r="E200" s="127"/>
      <c r="F200" s="128"/>
      <c r="G200" s="126"/>
      <c r="H200" s="127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5"/>
      <c r="X200" s="126"/>
      <c r="Y200" s="126"/>
      <c r="Z200" s="126"/>
      <c r="AA200" s="126"/>
      <c r="AB200" s="126"/>
      <c r="AC200" s="126"/>
      <c r="AD200" s="126"/>
      <c r="AE200" s="127"/>
      <c r="AF200" s="126"/>
      <c r="AG200" s="126"/>
      <c r="AH200" s="127"/>
      <c r="AI200" s="126"/>
      <c r="AJ200" s="127"/>
      <c r="AK200" s="127"/>
      <c r="AL200" s="129"/>
      <c r="AM200" s="129"/>
      <c r="AN200" s="44"/>
      <c r="AO200" s="44"/>
    </row>
    <row r="201" spans="2:41" ht="15.5">
      <c r="B201" s="125"/>
      <c r="C201" s="126"/>
      <c r="D201" s="126"/>
      <c r="E201" s="127"/>
      <c r="F201" s="128"/>
      <c r="G201" s="126"/>
      <c r="H201" s="127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5"/>
      <c r="X201" s="126"/>
      <c r="Y201" s="126"/>
      <c r="Z201" s="126"/>
      <c r="AA201" s="126"/>
      <c r="AB201" s="126"/>
      <c r="AC201" s="126"/>
      <c r="AD201" s="126"/>
      <c r="AE201" s="127"/>
      <c r="AF201" s="126"/>
      <c r="AG201" s="126"/>
      <c r="AH201" s="127"/>
      <c r="AI201" s="126"/>
      <c r="AJ201" s="127"/>
      <c r="AK201" s="127"/>
      <c r="AL201" s="129"/>
      <c r="AM201" s="129"/>
      <c r="AN201" s="44"/>
      <c r="AO201" s="44"/>
    </row>
    <row r="202" spans="2:41" ht="15.5">
      <c r="B202" s="125"/>
      <c r="C202" s="126"/>
      <c r="D202" s="126"/>
      <c r="E202" s="127"/>
      <c r="F202" s="128"/>
      <c r="G202" s="126"/>
      <c r="H202" s="127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5"/>
      <c r="X202" s="126"/>
      <c r="Y202" s="126"/>
      <c r="Z202" s="126"/>
      <c r="AA202" s="126"/>
      <c r="AB202" s="126"/>
      <c r="AC202" s="126"/>
      <c r="AD202" s="126"/>
      <c r="AE202" s="127"/>
      <c r="AF202" s="126"/>
      <c r="AG202" s="126"/>
      <c r="AH202" s="127"/>
      <c r="AI202" s="126"/>
      <c r="AJ202" s="127"/>
      <c r="AK202" s="127"/>
      <c r="AL202" s="129"/>
      <c r="AM202" s="129"/>
      <c r="AN202" s="44"/>
      <c r="AO202" s="44"/>
    </row>
    <row r="203" spans="2:41" ht="15.5">
      <c r="B203" s="125"/>
      <c r="C203" s="126"/>
      <c r="D203" s="126"/>
      <c r="E203" s="127"/>
      <c r="F203" s="128"/>
      <c r="G203" s="126"/>
      <c r="H203" s="127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5"/>
      <c r="X203" s="126"/>
      <c r="Y203" s="126"/>
      <c r="Z203" s="126"/>
      <c r="AA203" s="126"/>
      <c r="AB203" s="126"/>
      <c r="AC203" s="126"/>
      <c r="AD203" s="126"/>
      <c r="AE203" s="127"/>
      <c r="AF203" s="126"/>
      <c r="AG203" s="126"/>
      <c r="AH203" s="127"/>
      <c r="AI203" s="126"/>
      <c r="AJ203" s="127"/>
      <c r="AK203" s="127"/>
      <c r="AL203" s="129"/>
      <c r="AM203" s="129"/>
      <c r="AN203" s="44"/>
      <c r="AO203" s="44"/>
    </row>
    <row r="204" spans="2:41" ht="15.5">
      <c r="B204" s="125"/>
      <c r="C204" s="126"/>
      <c r="D204" s="126"/>
      <c r="E204" s="127"/>
      <c r="F204" s="128"/>
      <c r="G204" s="126"/>
      <c r="H204" s="127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5"/>
      <c r="X204" s="126"/>
      <c r="Y204" s="126"/>
      <c r="Z204" s="126"/>
      <c r="AA204" s="126"/>
      <c r="AB204" s="126"/>
      <c r="AC204" s="126"/>
      <c r="AD204" s="126"/>
      <c r="AE204" s="127"/>
      <c r="AF204" s="126"/>
      <c r="AG204" s="126"/>
      <c r="AH204" s="127"/>
      <c r="AI204" s="126"/>
      <c r="AJ204" s="127"/>
      <c r="AK204" s="127"/>
      <c r="AL204" s="129"/>
      <c r="AM204" s="129"/>
      <c r="AN204" s="44"/>
      <c r="AO204" s="44"/>
    </row>
    <row r="205" spans="2:41" ht="15.5">
      <c r="B205" s="125"/>
      <c r="C205" s="126"/>
      <c r="D205" s="126"/>
      <c r="E205" s="127"/>
      <c r="F205" s="128"/>
      <c r="G205" s="126"/>
      <c r="H205" s="127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5"/>
      <c r="X205" s="126"/>
      <c r="Y205" s="126"/>
      <c r="Z205" s="126"/>
      <c r="AA205" s="126"/>
      <c r="AB205" s="126"/>
      <c r="AC205" s="126"/>
      <c r="AD205" s="126"/>
      <c r="AE205" s="127"/>
      <c r="AF205" s="126"/>
      <c r="AG205" s="126"/>
      <c r="AH205" s="127"/>
      <c r="AI205" s="126"/>
      <c r="AJ205" s="127"/>
      <c r="AK205" s="127"/>
      <c r="AL205" s="129"/>
      <c r="AM205" s="129"/>
      <c r="AN205" s="44"/>
      <c r="AO205" s="44"/>
    </row>
    <row r="206" spans="2:41" ht="15.5">
      <c r="B206" s="125"/>
      <c r="C206" s="126"/>
      <c r="D206" s="126"/>
      <c r="E206" s="127"/>
      <c r="F206" s="128"/>
      <c r="G206" s="126"/>
      <c r="H206" s="127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5"/>
      <c r="X206" s="126"/>
      <c r="Y206" s="126"/>
      <c r="Z206" s="126"/>
      <c r="AA206" s="126"/>
      <c r="AB206" s="126"/>
      <c r="AC206" s="126"/>
      <c r="AD206" s="126"/>
      <c r="AE206" s="127"/>
      <c r="AF206" s="126"/>
      <c r="AG206" s="126"/>
      <c r="AH206" s="127"/>
      <c r="AI206" s="126"/>
      <c r="AJ206" s="127"/>
      <c r="AK206" s="127"/>
      <c r="AL206" s="129"/>
      <c r="AM206" s="129"/>
      <c r="AN206" s="44"/>
      <c r="AO206" s="44"/>
    </row>
    <row r="207" spans="2:41" ht="15.5">
      <c r="B207" s="125"/>
      <c r="C207" s="126"/>
      <c r="D207" s="126"/>
      <c r="E207" s="127"/>
      <c r="F207" s="128"/>
      <c r="G207" s="126"/>
      <c r="H207" s="127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5"/>
      <c r="X207" s="126"/>
      <c r="Y207" s="126"/>
      <c r="Z207" s="126"/>
      <c r="AA207" s="126"/>
      <c r="AB207" s="126"/>
      <c r="AC207" s="126"/>
      <c r="AD207" s="126"/>
      <c r="AE207" s="127"/>
      <c r="AF207" s="126"/>
      <c r="AG207" s="126"/>
      <c r="AH207" s="127"/>
      <c r="AI207" s="126"/>
      <c r="AJ207" s="127"/>
      <c r="AK207" s="127"/>
      <c r="AL207" s="129"/>
      <c r="AM207" s="129"/>
      <c r="AN207" s="44"/>
      <c r="AO207" s="44"/>
    </row>
    <row r="208" spans="2:41" ht="15.5">
      <c r="B208" s="125"/>
      <c r="C208" s="126"/>
      <c r="D208" s="126"/>
      <c r="E208" s="127"/>
      <c r="F208" s="128"/>
      <c r="G208" s="126"/>
      <c r="H208" s="127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5"/>
      <c r="X208" s="126"/>
      <c r="Y208" s="126"/>
      <c r="Z208" s="126"/>
      <c r="AA208" s="126"/>
      <c r="AB208" s="126"/>
      <c r="AC208" s="126"/>
      <c r="AD208" s="126"/>
      <c r="AE208" s="127"/>
      <c r="AF208" s="126"/>
      <c r="AG208" s="126"/>
      <c r="AH208" s="127"/>
      <c r="AI208" s="126"/>
      <c r="AJ208" s="127"/>
      <c r="AK208" s="127"/>
      <c r="AL208" s="129"/>
      <c r="AM208" s="129"/>
      <c r="AN208" s="44"/>
      <c r="AO208" s="44"/>
    </row>
    <row r="209" spans="2:41" ht="15.5">
      <c r="B209" s="125"/>
      <c r="C209" s="126"/>
      <c r="D209" s="126"/>
      <c r="E209" s="127"/>
      <c r="F209" s="128"/>
      <c r="G209" s="126"/>
      <c r="H209" s="127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5"/>
      <c r="X209" s="126"/>
      <c r="Y209" s="126"/>
      <c r="Z209" s="126"/>
      <c r="AA209" s="126"/>
      <c r="AB209" s="126"/>
      <c r="AC209" s="126"/>
      <c r="AD209" s="126"/>
      <c r="AE209" s="127"/>
      <c r="AF209" s="126"/>
      <c r="AG209" s="126"/>
      <c r="AH209" s="127"/>
      <c r="AI209" s="126"/>
      <c r="AJ209" s="127"/>
      <c r="AK209" s="127"/>
      <c r="AL209" s="129"/>
      <c r="AM209" s="129"/>
      <c r="AN209" s="44"/>
      <c r="AO209" s="44"/>
    </row>
    <row r="210" spans="2:41" ht="15.5">
      <c r="B210" s="125"/>
      <c r="C210" s="126"/>
      <c r="D210" s="126"/>
      <c r="E210" s="127"/>
      <c r="F210" s="128"/>
      <c r="G210" s="126"/>
      <c r="H210" s="127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5"/>
      <c r="X210" s="126"/>
      <c r="Y210" s="126"/>
      <c r="Z210" s="126"/>
      <c r="AA210" s="126"/>
      <c r="AB210" s="126"/>
      <c r="AC210" s="126"/>
      <c r="AD210" s="126"/>
      <c r="AE210" s="127"/>
      <c r="AF210" s="126"/>
      <c r="AG210" s="126"/>
      <c r="AH210" s="127"/>
      <c r="AI210" s="126"/>
      <c r="AJ210" s="127"/>
      <c r="AK210" s="127"/>
      <c r="AL210" s="129"/>
      <c r="AM210" s="129"/>
      <c r="AN210" s="44"/>
      <c r="AO210" s="44"/>
    </row>
    <row r="211" spans="2:41" ht="15.5">
      <c r="B211" s="125"/>
      <c r="C211" s="126"/>
      <c r="D211" s="126"/>
      <c r="E211" s="127"/>
      <c r="F211" s="128"/>
      <c r="G211" s="126"/>
      <c r="H211" s="127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5"/>
      <c r="X211" s="126"/>
      <c r="Y211" s="126"/>
      <c r="Z211" s="126"/>
      <c r="AA211" s="126"/>
      <c r="AB211" s="126"/>
      <c r="AC211" s="126"/>
      <c r="AD211" s="126"/>
      <c r="AE211" s="127"/>
      <c r="AF211" s="126"/>
      <c r="AG211" s="126"/>
      <c r="AH211" s="127"/>
      <c r="AI211" s="126"/>
      <c r="AJ211" s="127"/>
      <c r="AK211" s="127"/>
      <c r="AL211" s="129"/>
      <c r="AM211" s="129"/>
      <c r="AN211" s="44"/>
      <c r="AO211" s="44"/>
    </row>
    <row r="212" spans="2:41" ht="15.5">
      <c r="B212" s="125"/>
      <c r="C212" s="126"/>
      <c r="D212" s="126"/>
      <c r="E212" s="127"/>
      <c r="F212" s="128"/>
      <c r="G212" s="126"/>
      <c r="H212" s="127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5"/>
      <c r="X212" s="126"/>
      <c r="Y212" s="126"/>
      <c r="Z212" s="126"/>
      <c r="AA212" s="126"/>
      <c r="AB212" s="126"/>
      <c r="AC212" s="126"/>
      <c r="AD212" s="126"/>
      <c r="AE212" s="127"/>
      <c r="AF212" s="126"/>
      <c r="AG212" s="126"/>
      <c r="AH212" s="127"/>
      <c r="AI212" s="126"/>
      <c r="AJ212" s="127"/>
      <c r="AK212" s="127"/>
      <c r="AL212" s="129"/>
      <c r="AM212" s="129"/>
      <c r="AN212" s="44"/>
      <c r="AO212" s="44"/>
    </row>
    <row r="213" spans="2:41" ht="15.5">
      <c r="B213" s="125"/>
      <c r="C213" s="126"/>
      <c r="D213" s="126"/>
      <c r="E213" s="127"/>
      <c r="F213" s="128"/>
      <c r="G213" s="126"/>
      <c r="H213" s="127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5"/>
      <c r="X213" s="126"/>
      <c r="Y213" s="126"/>
      <c r="Z213" s="126"/>
      <c r="AA213" s="126"/>
      <c r="AB213" s="126"/>
      <c r="AC213" s="126"/>
      <c r="AD213" s="126"/>
      <c r="AE213" s="127"/>
      <c r="AF213" s="126"/>
      <c r="AG213" s="126"/>
      <c r="AH213" s="127"/>
      <c r="AI213" s="126"/>
      <c r="AJ213" s="127"/>
      <c r="AK213" s="127"/>
      <c r="AL213" s="129"/>
      <c r="AM213" s="129"/>
      <c r="AN213" s="44"/>
      <c r="AO213" s="44"/>
    </row>
    <row r="214" spans="2:41" ht="15.5">
      <c r="B214" s="125"/>
      <c r="C214" s="126"/>
      <c r="D214" s="126"/>
      <c r="E214" s="127"/>
      <c r="F214" s="128"/>
      <c r="G214" s="126"/>
      <c r="H214" s="127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5"/>
      <c r="X214" s="126"/>
      <c r="Y214" s="126"/>
      <c r="Z214" s="126"/>
      <c r="AA214" s="126"/>
      <c r="AB214" s="126"/>
      <c r="AC214" s="126"/>
      <c r="AD214" s="126"/>
      <c r="AE214" s="127"/>
      <c r="AF214" s="126"/>
      <c r="AG214" s="126"/>
      <c r="AH214" s="127"/>
      <c r="AI214" s="126"/>
      <c r="AJ214" s="127"/>
      <c r="AK214" s="127"/>
      <c r="AL214" s="129"/>
      <c r="AM214" s="129"/>
      <c r="AN214" s="44"/>
      <c r="AO214" s="44"/>
    </row>
    <row r="215" spans="2:41" ht="15.5">
      <c r="B215" s="125"/>
      <c r="C215" s="126"/>
      <c r="D215" s="126"/>
      <c r="E215" s="127"/>
      <c r="F215" s="128"/>
      <c r="G215" s="126"/>
      <c r="H215" s="127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5"/>
      <c r="X215" s="126"/>
      <c r="Y215" s="126"/>
      <c r="Z215" s="126"/>
      <c r="AA215" s="126"/>
      <c r="AB215" s="126"/>
      <c r="AC215" s="126"/>
      <c r="AD215" s="126"/>
      <c r="AE215" s="127"/>
      <c r="AF215" s="126"/>
      <c r="AG215" s="126"/>
      <c r="AH215" s="127"/>
      <c r="AI215" s="126"/>
      <c r="AJ215" s="127"/>
      <c r="AK215" s="127"/>
      <c r="AL215" s="129"/>
      <c r="AM215" s="129"/>
      <c r="AN215" s="44"/>
      <c r="AO215" s="44"/>
    </row>
    <row r="216" spans="2:41" ht="15.5">
      <c r="B216" s="125"/>
      <c r="C216" s="126"/>
      <c r="D216" s="126"/>
      <c r="E216" s="127"/>
      <c r="F216" s="128"/>
      <c r="G216" s="126"/>
      <c r="H216" s="127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5"/>
      <c r="X216" s="126"/>
      <c r="Y216" s="126"/>
      <c r="Z216" s="126"/>
      <c r="AA216" s="126"/>
      <c r="AB216" s="126"/>
      <c r="AC216" s="126"/>
      <c r="AD216" s="126"/>
      <c r="AE216" s="127"/>
      <c r="AF216" s="126"/>
      <c r="AG216" s="126"/>
      <c r="AH216" s="127"/>
      <c r="AI216" s="126"/>
      <c r="AJ216" s="127"/>
      <c r="AK216" s="127"/>
      <c r="AL216" s="129"/>
      <c r="AM216" s="129"/>
      <c r="AN216" s="44"/>
      <c r="AO216" s="44"/>
    </row>
    <row r="217" spans="2:41" ht="15.5">
      <c r="B217" s="125"/>
      <c r="C217" s="126"/>
      <c r="D217" s="126"/>
      <c r="E217" s="127"/>
      <c r="F217" s="128"/>
      <c r="G217" s="126"/>
      <c r="H217" s="127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5"/>
      <c r="X217" s="126"/>
      <c r="Y217" s="126"/>
      <c r="Z217" s="126"/>
      <c r="AA217" s="126"/>
      <c r="AB217" s="126"/>
      <c r="AC217" s="126"/>
      <c r="AD217" s="126"/>
      <c r="AE217" s="127"/>
      <c r="AF217" s="126"/>
      <c r="AG217" s="126"/>
      <c r="AH217" s="127"/>
      <c r="AI217" s="126"/>
      <c r="AJ217" s="127"/>
      <c r="AK217" s="127"/>
      <c r="AL217" s="129"/>
      <c r="AM217" s="129"/>
      <c r="AN217" s="44"/>
      <c r="AO217" s="44"/>
    </row>
    <row r="218" spans="2:41" ht="15.5">
      <c r="B218" s="125"/>
      <c r="C218" s="126"/>
      <c r="D218" s="126"/>
      <c r="E218" s="127"/>
      <c r="F218" s="128"/>
      <c r="G218" s="126"/>
      <c r="H218" s="127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5"/>
      <c r="X218" s="126"/>
      <c r="Y218" s="126"/>
      <c r="Z218" s="126"/>
      <c r="AA218" s="126"/>
      <c r="AB218" s="126"/>
      <c r="AC218" s="126"/>
      <c r="AD218" s="126"/>
      <c r="AE218" s="127"/>
      <c r="AF218" s="126"/>
      <c r="AG218" s="126"/>
      <c r="AH218" s="127"/>
      <c r="AI218" s="126"/>
      <c r="AJ218" s="127"/>
      <c r="AK218" s="127"/>
      <c r="AL218" s="129"/>
      <c r="AM218" s="129"/>
      <c r="AN218" s="44"/>
      <c r="AO218" s="44"/>
    </row>
    <row r="219" spans="2:41" ht="15.5">
      <c r="B219" s="125"/>
      <c r="C219" s="126"/>
      <c r="D219" s="126"/>
      <c r="E219" s="127"/>
      <c r="F219" s="128"/>
      <c r="G219" s="126"/>
      <c r="H219" s="127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5"/>
      <c r="X219" s="126"/>
      <c r="Y219" s="126"/>
      <c r="Z219" s="126"/>
      <c r="AA219" s="126"/>
      <c r="AB219" s="126"/>
      <c r="AC219" s="126"/>
      <c r="AD219" s="126"/>
      <c r="AE219" s="127"/>
      <c r="AF219" s="126"/>
      <c r="AG219" s="126"/>
      <c r="AH219" s="127"/>
      <c r="AI219" s="126"/>
      <c r="AJ219" s="127"/>
      <c r="AK219" s="127"/>
      <c r="AL219" s="129"/>
      <c r="AM219" s="129"/>
      <c r="AN219" s="44"/>
      <c r="AO219" s="44"/>
    </row>
    <row r="220" spans="2:41" ht="15.5">
      <c r="B220" s="125"/>
      <c r="C220" s="126"/>
      <c r="D220" s="126"/>
      <c r="E220" s="127"/>
      <c r="F220" s="128"/>
      <c r="G220" s="126"/>
      <c r="H220" s="127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5"/>
      <c r="X220" s="126"/>
      <c r="Y220" s="126"/>
      <c r="Z220" s="126"/>
      <c r="AA220" s="126"/>
      <c r="AB220" s="126"/>
      <c r="AC220" s="126"/>
      <c r="AD220" s="126"/>
      <c r="AE220" s="127"/>
      <c r="AF220" s="126"/>
      <c r="AG220" s="126"/>
      <c r="AH220" s="127"/>
      <c r="AI220" s="126"/>
      <c r="AJ220" s="127"/>
      <c r="AK220" s="127"/>
      <c r="AL220" s="129"/>
      <c r="AM220" s="129"/>
      <c r="AN220" s="44"/>
      <c r="AO220" s="44"/>
    </row>
    <row r="221" spans="2:41" ht="15.5">
      <c r="B221" s="125"/>
      <c r="C221" s="126"/>
      <c r="D221" s="126"/>
      <c r="E221" s="127"/>
      <c r="F221" s="128"/>
      <c r="G221" s="126"/>
      <c r="H221" s="127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5"/>
      <c r="X221" s="126"/>
      <c r="Y221" s="126"/>
      <c r="Z221" s="126"/>
      <c r="AA221" s="126"/>
      <c r="AB221" s="126"/>
      <c r="AC221" s="126"/>
      <c r="AD221" s="126"/>
      <c r="AE221" s="127"/>
      <c r="AF221" s="126"/>
      <c r="AG221" s="126"/>
      <c r="AH221" s="127"/>
      <c r="AI221" s="126"/>
      <c r="AJ221" s="127"/>
      <c r="AK221" s="127"/>
      <c r="AL221" s="129"/>
      <c r="AM221" s="129"/>
      <c r="AN221" s="44"/>
      <c r="AO221" s="44"/>
    </row>
    <row r="222" spans="2:41" ht="15.5">
      <c r="B222" s="125"/>
      <c r="C222" s="126"/>
      <c r="D222" s="126"/>
      <c r="E222" s="127"/>
      <c r="F222" s="128"/>
      <c r="G222" s="126"/>
      <c r="H222" s="127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5"/>
      <c r="X222" s="126"/>
      <c r="Y222" s="126"/>
      <c r="Z222" s="126"/>
      <c r="AA222" s="126"/>
      <c r="AB222" s="126"/>
      <c r="AC222" s="126"/>
      <c r="AD222" s="126"/>
      <c r="AE222" s="127"/>
      <c r="AF222" s="126"/>
      <c r="AG222" s="126"/>
      <c r="AH222" s="127"/>
      <c r="AI222" s="126"/>
      <c r="AJ222" s="127"/>
      <c r="AK222" s="127"/>
      <c r="AL222" s="129"/>
      <c r="AM222" s="129"/>
      <c r="AN222" s="44"/>
      <c r="AO222" s="44"/>
    </row>
    <row r="223" spans="2:41" ht="15.5">
      <c r="B223" s="125"/>
      <c r="C223" s="126"/>
      <c r="D223" s="126"/>
      <c r="E223" s="127"/>
      <c r="F223" s="128"/>
      <c r="G223" s="126"/>
      <c r="H223" s="127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5"/>
      <c r="X223" s="126"/>
      <c r="Y223" s="126"/>
      <c r="Z223" s="126"/>
      <c r="AA223" s="126"/>
      <c r="AB223" s="126"/>
      <c r="AC223" s="126"/>
      <c r="AD223" s="126"/>
      <c r="AE223" s="127"/>
      <c r="AF223" s="126"/>
      <c r="AG223" s="126"/>
      <c r="AH223" s="127"/>
      <c r="AI223" s="126"/>
      <c r="AJ223" s="127"/>
      <c r="AK223" s="127"/>
      <c r="AL223" s="129"/>
      <c r="AM223" s="129"/>
      <c r="AN223" s="44"/>
      <c r="AO223" s="44"/>
    </row>
    <row r="224" spans="2:41" ht="15.5">
      <c r="B224" s="125"/>
      <c r="C224" s="126"/>
      <c r="D224" s="126"/>
      <c r="E224" s="127"/>
      <c r="F224" s="128"/>
      <c r="G224" s="126"/>
      <c r="H224" s="127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5"/>
      <c r="X224" s="126"/>
      <c r="Y224" s="126"/>
      <c r="Z224" s="126"/>
      <c r="AA224" s="126"/>
      <c r="AB224" s="126"/>
      <c r="AC224" s="126"/>
      <c r="AD224" s="126"/>
      <c r="AE224" s="127"/>
      <c r="AF224" s="126"/>
      <c r="AG224" s="126"/>
      <c r="AH224" s="127"/>
      <c r="AI224" s="126"/>
      <c r="AJ224" s="127"/>
      <c r="AK224" s="127"/>
      <c r="AL224" s="129"/>
      <c r="AM224" s="129"/>
      <c r="AN224" s="44"/>
      <c r="AO224" s="44"/>
    </row>
    <row r="225" spans="2:41" ht="15.5">
      <c r="B225" s="125"/>
      <c r="C225" s="126"/>
      <c r="D225" s="126"/>
      <c r="E225" s="127"/>
      <c r="F225" s="128"/>
      <c r="G225" s="126"/>
      <c r="H225" s="127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5"/>
      <c r="X225" s="126"/>
      <c r="Y225" s="126"/>
      <c r="Z225" s="126"/>
      <c r="AA225" s="126"/>
      <c r="AB225" s="126"/>
      <c r="AC225" s="126"/>
      <c r="AD225" s="126"/>
      <c r="AE225" s="127"/>
      <c r="AF225" s="126"/>
      <c r="AG225" s="126"/>
      <c r="AH225" s="127"/>
      <c r="AI225" s="126"/>
      <c r="AJ225" s="127"/>
      <c r="AK225" s="127"/>
      <c r="AL225" s="129"/>
      <c r="AM225" s="129"/>
      <c r="AN225" s="44"/>
      <c r="AO225" s="44"/>
    </row>
    <row r="226" spans="2:41" ht="15.5">
      <c r="B226" s="125"/>
      <c r="C226" s="126"/>
      <c r="D226" s="126"/>
      <c r="E226" s="127"/>
      <c r="F226" s="128"/>
      <c r="G226" s="126"/>
      <c r="H226" s="127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5"/>
      <c r="X226" s="126"/>
      <c r="Y226" s="126"/>
      <c r="Z226" s="126"/>
      <c r="AA226" s="126"/>
      <c r="AB226" s="126"/>
      <c r="AC226" s="126"/>
      <c r="AD226" s="126"/>
      <c r="AE226" s="127"/>
      <c r="AF226" s="126"/>
      <c r="AG226" s="126"/>
      <c r="AH226" s="127"/>
      <c r="AI226" s="126"/>
      <c r="AJ226" s="127"/>
      <c r="AK226" s="127"/>
      <c r="AL226" s="129"/>
      <c r="AM226" s="129"/>
      <c r="AN226" s="44"/>
      <c r="AO226" s="44"/>
    </row>
    <row r="227" spans="2:41" ht="15.5">
      <c r="B227" s="125"/>
      <c r="C227" s="126"/>
      <c r="D227" s="126"/>
      <c r="E227" s="127"/>
      <c r="F227" s="128"/>
      <c r="G227" s="126"/>
      <c r="H227" s="127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5"/>
      <c r="X227" s="126"/>
      <c r="Y227" s="126"/>
      <c r="Z227" s="126"/>
      <c r="AA227" s="126"/>
      <c r="AB227" s="126"/>
      <c r="AC227" s="126"/>
      <c r="AD227" s="126"/>
      <c r="AE227" s="127"/>
      <c r="AF227" s="126"/>
      <c r="AG227" s="126"/>
      <c r="AH227" s="127"/>
      <c r="AI227" s="126"/>
      <c r="AJ227" s="127"/>
      <c r="AK227" s="127"/>
      <c r="AL227" s="129"/>
      <c r="AM227" s="129"/>
      <c r="AN227" s="44"/>
      <c r="AO227" s="44"/>
    </row>
    <row r="228" spans="2:41" ht="15.5">
      <c r="B228" s="125"/>
      <c r="C228" s="126"/>
      <c r="D228" s="126"/>
      <c r="E228" s="127"/>
      <c r="F228" s="128"/>
      <c r="G228" s="126"/>
      <c r="H228" s="127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5"/>
      <c r="X228" s="126"/>
      <c r="Y228" s="126"/>
      <c r="Z228" s="126"/>
      <c r="AA228" s="126"/>
      <c r="AB228" s="126"/>
      <c r="AC228" s="126"/>
      <c r="AD228" s="126"/>
      <c r="AE228" s="127"/>
      <c r="AF228" s="126"/>
      <c r="AG228" s="126"/>
      <c r="AH228" s="127"/>
      <c r="AI228" s="126"/>
      <c r="AJ228" s="127"/>
      <c r="AK228" s="127"/>
      <c r="AL228" s="129"/>
      <c r="AM228" s="129"/>
      <c r="AN228" s="44"/>
      <c r="AO228" s="44"/>
    </row>
    <row r="229" spans="2:41" ht="15.5">
      <c r="B229" s="125"/>
      <c r="C229" s="126"/>
      <c r="D229" s="126"/>
      <c r="E229" s="127"/>
      <c r="F229" s="128"/>
      <c r="G229" s="126"/>
      <c r="H229" s="127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5"/>
      <c r="X229" s="126"/>
      <c r="Y229" s="126"/>
      <c r="Z229" s="126"/>
      <c r="AA229" s="126"/>
      <c r="AB229" s="126"/>
      <c r="AC229" s="126"/>
      <c r="AD229" s="126"/>
      <c r="AE229" s="127"/>
      <c r="AF229" s="126"/>
      <c r="AG229" s="126"/>
      <c r="AH229" s="127"/>
      <c r="AI229" s="126"/>
      <c r="AJ229" s="127"/>
      <c r="AK229" s="127"/>
      <c r="AL229" s="129"/>
      <c r="AM229" s="129"/>
      <c r="AN229" s="44"/>
      <c r="AO229" s="44"/>
    </row>
    <row r="230" spans="2:41" ht="15.5">
      <c r="B230" s="125"/>
      <c r="C230" s="126"/>
      <c r="D230" s="126"/>
      <c r="E230" s="127"/>
      <c r="F230" s="128"/>
      <c r="G230" s="126"/>
      <c r="H230" s="127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5"/>
      <c r="X230" s="126"/>
      <c r="Y230" s="126"/>
      <c r="Z230" s="126"/>
      <c r="AA230" s="126"/>
      <c r="AB230" s="126"/>
      <c r="AC230" s="126"/>
      <c r="AD230" s="126"/>
      <c r="AE230" s="127"/>
      <c r="AF230" s="126"/>
      <c r="AG230" s="126"/>
      <c r="AH230" s="127"/>
      <c r="AI230" s="126"/>
      <c r="AJ230" s="127"/>
      <c r="AK230" s="127"/>
      <c r="AL230" s="129"/>
      <c r="AM230" s="129"/>
      <c r="AN230" s="44"/>
      <c r="AO230" s="44"/>
    </row>
    <row r="231" spans="2:41" ht="15.5">
      <c r="B231" s="125"/>
      <c r="C231" s="126"/>
      <c r="D231" s="126"/>
      <c r="E231" s="127"/>
      <c r="F231" s="128"/>
      <c r="G231" s="126"/>
      <c r="H231" s="127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5"/>
      <c r="X231" s="126"/>
      <c r="Y231" s="126"/>
      <c r="Z231" s="126"/>
      <c r="AA231" s="126"/>
      <c r="AB231" s="126"/>
      <c r="AC231" s="126"/>
      <c r="AD231" s="126"/>
      <c r="AE231" s="127"/>
      <c r="AF231" s="126"/>
      <c r="AG231" s="126"/>
      <c r="AH231" s="127"/>
      <c r="AI231" s="126"/>
      <c r="AJ231" s="127"/>
      <c r="AK231" s="127"/>
      <c r="AL231" s="129"/>
      <c r="AM231" s="129"/>
      <c r="AN231" s="44"/>
      <c r="AO231" s="44"/>
    </row>
    <row r="232" spans="2:41" ht="15.5">
      <c r="B232" s="125"/>
      <c r="C232" s="126"/>
      <c r="D232" s="126"/>
      <c r="E232" s="127"/>
      <c r="F232" s="128"/>
      <c r="G232" s="126"/>
      <c r="H232" s="127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5"/>
      <c r="X232" s="126"/>
      <c r="Y232" s="126"/>
      <c r="Z232" s="126"/>
      <c r="AA232" s="126"/>
      <c r="AB232" s="126"/>
      <c r="AC232" s="126"/>
      <c r="AD232" s="126"/>
      <c r="AE232" s="127"/>
      <c r="AF232" s="126"/>
      <c r="AG232" s="126"/>
      <c r="AH232" s="127"/>
      <c r="AI232" s="126"/>
      <c r="AJ232" s="127"/>
      <c r="AK232" s="127"/>
      <c r="AL232" s="129"/>
      <c r="AM232" s="129"/>
      <c r="AN232" s="44"/>
      <c r="AO232" s="44"/>
    </row>
    <row r="233" spans="2:41" ht="15.5">
      <c r="B233" s="125"/>
      <c r="C233" s="126"/>
      <c r="D233" s="126"/>
      <c r="E233" s="127"/>
      <c r="F233" s="128"/>
      <c r="G233" s="126"/>
      <c r="H233" s="127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5"/>
      <c r="X233" s="126"/>
      <c r="Y233" s="126"/>
      <c r="Z233" s="126"/>
      <c r="AA233" s="126"/>
      <c r="AB233" s="126"/>
      <c r="AC233" s="126"/>
      <c r="AD233" s="126"/>
      <c r="AE233" s="127"/>
      <c r="AF233" s="126"/>
      <c r="AG233" s="126"/>
      <c r="AH233" s="127"/>
      <c r="AI233" s="126"/>
      <c r="AJ233" s="127"/>
      <c r="AK233" s="127"/>
      <c r="AL233" s="129"/>
      <c r="AM233" s="129"/>
      <c r="AN233" s="44"/>
      <c r="AO233" s="44"/>
    </row>
    <row r="234" spans="2:41" ht="15.5">
      <c r="B234" s="125"/>
      <c r="C234" s="126"/>
      <c r="D234" s="126"/>
      <c r="E234" s="127"/>
      <c r="F234" s="128"/>
      <c r="G234" s="126"/>
      <c r="H234" s="127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5"/>
      <c r="X234" s="126"/>
      <c r="Y234" s="126"/>
      <c r="Z234" s="126"/>
      <c r="AA234" s="126"/>
      <c r="AB234" s="126"/>
      <c r="AC234" s="126"/>
      <c r="AD234" s="126"/>
      <c r="AE234" s="127"/>
      <c r="AF234" s="126"/>
      <c r="AG234" s="126"/>
      <c r="AH234" s="127"/>
      <c r="AI234" s="126"/>
      <c r="AJ234" s="127"/>
      <c r="AK234" s="127"/>
      <c r="AL234" s="129"/>
      <c r="AM234" s="129"/>
      <c r="AN234" s="44"/>
      <c r="AO234" s="44"/>
    </row>
    <row r="235" spans="2:41" ht="15.5">
      <c r="B235" s="125"/>
      <c r="C235" s="126"/>
      <c r="D235" s="126"/>
      <c r="E235" s="127"/>
      <c r="F235" s="128"/>
      <c r="G235" s="126"/>
      <c r="H235" s="127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5"/>
      <c r="X235" s="126"/>
      <c r="Y235" s="126"/>
      <c r="Z235" s="126"/>
      <c r="AA235" s="126"/>
      <c r="AB235" s="126"/>
      <c r="AC235" s="126"/>
      <c r="AD235" s="126"/>
      <c r="AE235" s="127"/>
      <c r="AF235" s="126"/>
      <c r="AG235" s="126"/>
      <c r="AH235" s="127"/>
      <c r="AI235" s="126"/>
      <c r="AJ235" s="127"/>
      <c r="AK235" s="127"/>
      <c r="AL235" s="129"/>
      <c r="AM235" s="129"/>
      <c r="AN235" s="44"/>
      <c r="AO235" s="44"/>
    </row>
    <row r="236" spans="2:41" ht="15.5">
      <c r="B236" s="125"/>
      <c r="C236" s="126"/>
      <c r="D236" s="126"/>
      <c r="E236" s="127"/>
      <c r="F236" s="128"/>
      <c r="G236" s="126"/>
      <c r="H236" s="127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5"/>
      <c r="X236" s="126"/>
      <c r="Y236" s="126"/>
      <c r="Z236" s="126"/>
      <c r="AA236" s="126"/>
      <c r="AB236" s="126"/>
      <c r="AC236" s="126"/>
      <c r="AD236" s="126"/>
      <c r="AE236" s="127"/>
      <c r="AF236" s="126"/>
      <c r="AG236" s="126"/>
      <c r="AH236" s="127"/>
      <c r="AI236" s="126"/>
      <c r="AJ236" s="127"/>
      <c r="AK236" s="127"/>
      <c r="AL236" s="129"/>
      <c r="AM236" s="129"/>
      <c r="AN236" s="44"/>
      <c r="AO236" s="44"/>
    </row>
    <row r="237" spans="2:41" ht="15.5">
      <c r="B237" s="125"/>
      <c r="C237" s="126"/>
      <c r="D237" s="126"/>
      <c r="E237" s="127"/>
      <c r="F237" s="128"/>
      <c r="G237" s="126"/>
      <c r="H237" s="127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5"/>
      <c r="X237" s="126"/>
      <c r="Y237" s="126"/>
      <c r="Z237" s="126"/>
      <c r="AA237" s="126"/>
      <c r="AB237" s="126"/>
      <c r="AC237" s="126"/>
      <c r="AD237" s="126"/>
      <c r="AE237" s="127"/>
      <c r="AF237" s="126"/>
      <c r="AG237" s="126"/>
      <c r="AH237" s="127"/>
      <c r="AI237" s="126"/>
      <c r="AJ237" s="127"/>
      <c r="AK237" s="127"/>
      <c r="AL237" s="129"/>
      <c r="AM237" s="129"/>
      <c r="AN237" s="44"/>
      <c r="AO237" s="44"/>
    </row>
    <row r="238" spans="2:41" ht="15.5">
      <c r="B238" s="125"/>
      <c r="C238" s="126"/>
      <c r="D238" s="126"/>
      <c r="E238" s="127"/>
      <c r="F238" s="128"/>
      <c r="G238" s="126"/>
      <c r="H238" s="127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5"/>
      <c r="X238" s="126"/>
      <c r="Y238" s="126"/>
      <c r="Z238" s="126"/>
      <c r="AA238" s="126"/>
      <c r="AB238" s="126"/>
      <c r="AC238" s="126"/>
      <c r="AD238" s="126"/>
      <c r="AE238" s="127"/>
      <c r="AF238" s="126"/>
      <c r="AG238" s="126"/>
      <c r="AH238" s="127"/>
      <c r="AI238" s="126"/>
      <c r="AJ238" s="127"/>
      <c r="AK238" s="127"/>
      <c r="AL238" s="129"/>
      <c r="AM238" s="129"/>
      <c r="AN238" s="44"/>
      <c r="AO238" s="44"/>
    </row>
    <row r="239" spans="2:41" ht="15.5">
      <c r="B239" s="125"/>
      <c r="C239" s="126"/>
      <c r="D239" s="126"/>
      <c r="E239" s="127"/>
      <c r="F239" s="128"/>
      <c r="G239" s="126"/>
      <c r="H239" s="127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5"/>
      <c r="X239" s="126"/>
      <c r="Y239" s="126"/>
      <c r="Z239" s="126"/>
      <c r="AA239" s="126"/>
      <c r="AB239" s="126"/>
      <c r="AC239" s="126"/>
      <c r="AD239" s="126"/>
      <c r="AE239" s="127"/>
      <c r="AF239" s="126"/>
      <c r="AG239" s="126"/>
      <c r="AH239" s="127"/>
      <c r="AI239" s="126"/>
      <c r="AJ239" s="127"/>
      <c r="AK239" s="127"/>
      <c r="AL239" s="129"/>
      <c r="AM239" s="129"/>
      <c r="AN239" s="44"/>
      <c r="AO239" s="44"/>
    </row>
    <row r="240" spans="2:41" ht="15.5">
      <c r="B240" s="125"/>
      <c r="C240" s="126"/>
      <c r="D240" s="126"/>
      <c r="E240" s="127"/>
      <c r="F240" s="128"/>
      <c r="G240" s="126"/>
      <c r="H240" s="127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5"/>
      <c r="X240" s="126"/>
      <c r="Y240" s="126"/>
      <c r="Z240" s="126"/>
      <c r="AA240" s="126"/>
      <c r="AB240" s="126"/>
      <c r="AC240" s="126"/>
      <c r="AD240" s="126"/>
      <c r="AE240" s="127"/>
      <c r="AF240" s="126"/>
      <c r="AG240" s="126"/>
      <c r="AH240" s="127"/>
      <c r="AI240" s="126"/>
      <c r="AJ240" s="127"/>
      <c r="AK240" s="127"/>
      <c r="AL240" s="129"/>
      <c r="AM240" s="129"/>
      <c r="AN240" s="44"/>
      <c r="AO240" s="44"/>
    </row>
    <row r="241" spans="2:41" ht="15.5">
      <c r="B241" s="125"/>
      <c r="C241" s="126"/>
      <c r="D241" s="126"/>
      <c r="E241" s="127"/>
      <c r="F241" s="128"/>
      <c r="G241" s="126"/>
      <c r="H241" s="127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5"/>
      <c r="X241" s="126"/>
      <c r="Y241" s="126"/>
      <c r="Z241" s="126"/>
      <c r="AA241" s="126"/>
      <c r="AB241" s="126"/>
      <c r="AC241" s="126"/>
      <c r="AD241" s="126"/>
      <c r="AE241" s="127"/>
      <c r="AF241" s="126"/>
      <c r="AG241" s="126"/>
      <c r="AH241" s="127"/>
      <c r="AI241" s="126"/>
      <c r="AJ241" s="127"/>
      <c r="AK241" s="127"/>
      <c r="AL241" s="129"/>
      <c r="AM241" s="129"/>
      <c r="AN241" s="44"/>
      <c r="AO241" s="44"/>
    </row>
    <row r="242" spans="2:41" ht="15.5">
      <c r="B242" s="125"/>
      <c r="C242" s="126"/>
      <c r="D242" s="126"/>
      <c r="E242" s="127"/>
      <c r="F242" s="128"/>
      <c r="G242" s="126"/>
      <c r="H242" s="127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5"/>
      <c r="X242" s="126"/>
      <c r="Y242" s="126"/>
      <c r="Z242" s="126"/>
      <c r="AA242" s="126"/>
      <c r="AB242" s="126"/>
      <c r="AC242" s="126"/>
      <c r="AD242" s="126"/>
      <c r="AE242" s="127"/>
      <c r="AF242" s="126"/>
      <c r="AG242" s="126"/>
      <c r="AH242" s="127"/>
      <c r="AI242" s="126"/>
      <c r="AJ242" s="127"/>
      <c r="AK242" s="127"/>
      <c r="AL242" s="129"/>
      <c r="AM242" s="129"/>
      <c r="AN242" s="44"/>
      <c r="AO242" s="44"/>
    </row>
    <row r="243" spans="2:41" ht="15.5">
      <c r="B243" s="125"/>
      <c r="C243" s="126"/>
      <c r="D243" s="126"/>
      <c r="E243" s="127"/>
      <c r="F243" s="128"/>
      <c r="G243" s="126"/>
      <c r="H243" s="127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5"/>
      <c r="X243" s="126"/>
      <c r="Y243" s="126"/>
      <c r="Z243" s="126"/>
      <c r="AA243" s="126"/>
      <c r="AB243" s="126"/>
      <c r="AC243" s="126"/>
      <c r="AD243" s="126"/>
      <c r="AE243" s="127"/>
      <c r="AF243" s="126"/>
      <c r="AG243" s="126"/>
      <c r="AH243" s="127"/>
      <c r="AI243" s="126"/>
      <c r="AJ243" s="127"/>
      <c r="AK243" s="127"/>
      <c r="AL243" s="129"/>
      <c r="AM243" s="129"/>
      <c r="AN243" s="44"/>
      <c r="AO243" s="44"/>
    </row>
    <row r="244" spans="2:41" ht="15.5">
      <c r="B244" s="125"/>
      <c r="C244" s="126"/>
      <c r="D244" s="126"/>
      <c r="E244" s="127"/>
      <c r="F244" s="128"/>
      <c r="G244" s="126"/>
      <c r="H244" s="127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5"/>
      <c r="X244" s="126"/>
      <c r="Y244" s="126"/>
      <c r="Z244" s="126"/>
      <c r="AA244" s="126"/>
      <c r="AB244" s="126"/>
      <c r="AC244" s="126"/>
      <c r="AD244" s="126"/>
      <c r="AE244" s="127"/>
      <c r="AF244" s="126"/>
      <c r="AG244" s="126"/>
      <c r="AH244" s="127"/>
      <c r="AI244" s="126"/>
      <c r="AJ244" s="127"/>
      <c r="AK244" s="127"/>
      <c r="AL244" s="129"/>
      <c r="AM244" s="129"/>
      <c r="AN244" s="44"/>
      <c r="AO244" s="44"/>
    </row>
    <row r="245" spans="2:41" ht="15.5">
      <c r="B245" s="125"/>
      <c r="C245" s="126"/>
      <c r="D245" s="126"/>
      <c r="E245" s="127"/>
      <c r="F245" s="128"/>
      <c r="G245" s="126"/>
      <c r="H245" s="127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5"/>
      <c r="X245" s="126"/>
      <c r="Y245" s="126"/>
      <c r="Z245" s="126"/>
      <c r="AA245" s="126"/>
      <c r="AB245" s="126"/>
      <c r="AC245" s="126"/>
      <c r="AD245" s="126"/>
      <c r="AE245" s="127"/>
      <c r="AF245" s="126"/>
      <c r="AG245" s="126"/>
      <c r="AH245" s="127"/>
      <c r="AI245" s="126"/>
      <c r="AJ245" s="127"/>
      <c r="AK245" s="127"/>
      <c r="AL245" s="129"/>
      <c r="AM245" s="129"/>
      <c r="AN245" s="44"/>
      <c r="AO245" s="44"/>
    </row>
    <row r="246" spans="2:41" ht="15.5">
      <c r="B246" s="125"/>
      <c r="C246" s="126"/>
      <c r="D246" s="126"/>
      <c r="E246" s="127"/>
      <c r="F246" s="128"/>
      <c r="G246" s="126"/>
      <c r="H246" s="127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5"/>
      <c r="X246" s="126"/>
      <c r="Y246" s="126"/>
      <c r="Z246" s="126"/>
      <c r="AA246" s="126"/>
      <c r="AB246" s="126"/>
      <c r="AC246" s="126"/>
      <c r="AD246" s="126"/>
      <c r="AE246" s="127"/>
      <c r="AF246" s="126"/>
      <c r="AG246" s="126"/>
      <c r="AH246" s="127"/>
      <c r="AI246" s="126"/>
      <c r="AJ246" s="127"/>
      <c r="AK246" s="127"/>
      <c r="AL246" s="129"/>
      <c r="AM246" s="129"/>
      <c r="AN246" s="44"/>
      <c r="AO246" s="44"/>
    </row>
    <row r="247" spans="2:41" ht="15.5">
      <c r="B247" s="125"/>
      <c r="C247" s="126"/>
      <c r="D247" s="126"/>
      <c r="E247" s="127"/>
      <c r="F247" s="128"/>
      <c r="G247" s="126"/>
      <c r="H247" s="127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5"/>
      <c r="X247" s="126"/>
      <c r="Y247" s="126"/>
      <c r="Z247" s="126"/>
      <c r="AA247" s="126"/>
      <c r="AB247" s="126"/>
      <c r="AC247" s="126"/>
      <c r="AD247" s="126"/>
      <c r="AE247" s="127"/>
      <c r="AF247" s="126"/>
      <c r="AG247" s="126"/>
      <c r="AH247" s="127"/>
      <c r="AI247" s="126"/>
      <c r="AJ247" s="127"/>
      <c r="AK247" s="127"/>
      <c r="AL247" s="129"/>
      <c r="AM247" s="129"/>
      <c r="AN247" s="44"/>
      <c r="AO247" s="44"/>
    </row>
    <row r="248" spans="2:41" ht="15.5">
      <c r="B248" s="125"/>
      <c r="C248" s="126"/>
      <c r="D248" s="126"/>
      <c r="E248" s="127"/>
      <c r="F248" s="128"/>
      <c r="G248" s="126"/>
      <c r="H248" s="127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5"/>
      <c r="X248" s="126"/>
      <c r="Y248" s="126"/>
      <c r="Z248" s="126"/>
      <c r="AA248" s="126"/>
      <c r="AB248" s="126"/>
      <c r="AC248" s="126"/>
      <c r="AD248" s="126"/>
      <c r="AE248" s="127"/>
      <c r="AF248" s="126"/>
      <c r="AG248" s="126"/>
      <c r="AH248" s="127"/>
      <c r="AI248" s="126"/>
      <c r="AJ248" s="127"/>
      <c r="AK248" s="127"/>
      <c r="AL248" s="129"/>
      <c r="AM248" s="129"/>
      <c r="AN248" s="44"/>
      <c r="AO248" s="44"/>
    </row>
    <row r="249" spans="2:41" ht="15.5">
      <c r="B249" s="125"/>
      <c r="C249" s="126"/>
      <c r="D249" s="126"/>
      <c r="E249" s="127"/>
      <c r="F249" s="128"/>
      <c r="G249" s="126"/>
      <c r="H249" s="127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5"/>
      <c r="X249" s="126"/>
      <c r="Y249" s="126"/>
      <c r="Z249" s="126"/>
      <c r="AA249" s="126"/>
      <c r="AB249" s="126"/>
      <c r="AC249" s="126"/>
      <c r="AD249" s="126"/>
      <c r="AE249" s="127"/>
      <c r="AF249" s="126"/>
      <c r="AG249" s="126"/>
      <c r="AH249" s="127"/>
      <c r="AI249" s="126"/>
      <c r="AJ249" s="127"/>
      <c r="AK249" s="127"/>
      <c r="AL249" s="129"/>
      <c r="AM249" s="129"/>
      <c r="AN249" s="44"/>
      <c r="AO249" s="44"/>
    </row>
    <row r="250" spans="2:41" ht="15.5">
      <c r="B250" s="125"/>
      <c r="C250" s="126"/>
      <c r="D250" s="126"/>
      <c r="E250" s="127"/>
      <c r="F250" s="128"/>
      <c r="G250" s="126"/>
      <c r="H250" s="127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5"/>
      <c r="X250" s="126"/>
      <c r="Y250" s="126"/>
      <c r="Z250" s="126"/>
      <c r="AA250" s="126"/>
      <c r="AB250" s="126"/>
      <c r="AC250" s="126"/>
      <c r="AD250" s="126"/>
      <c r="AE250" s="127"/>
      <c r="AF250" s="126"/>
      <c r="AG250" s="126"/>
      <c r="AH250" s="127"/>
      <c r="AI250" s="126"/>
      <c r="AJ250" s="127"/>
      <c r="AK250" s="127"/>
      <c r="AL250" s="129"/>
      <c r="AM250" s="129"/>
      <c r="AN250" s="44"/>
      <c r="AO250" s="44"/>
    </row>
    <row r="251" spans="2:41" ht="15.5">
      <c r="B251" s="125"/>
      <c r="C251" s="126"/>
      <c r="D251" s="126"/>
      <c r="E251" s="127"/>
      <c r="F251" s="128"/>
      <c r="G251" s="126"/>
      <c r="H251" s="127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5"/>
      <c r="X251" s="126"/>
      <c r="Y251" s="126"/>
      <c r="Z251" s="126"/>
      <c r="AA251" s="126"/>
      <c r="AB251" s="126"/>
      <c r="AC251" s="126"/>
      <c r="AD251" s="126"/>
      <c r="AE251" s="127"/>
      <c r="AF251" s="126"/>
      <c r="AG251" s="126"/>
      <c r="AH251" s="127"/>
      <c r="AI251" s="126"/>
      <c r="AJ251" s="127"/>
      <c r="AK251" s="127"/>
      <c r="AL251" s="129"/>
      <c r="AM251" s="129"/>
      <c r="AN251" s="44"/>
      <c r="AO251" s="44"/>
    </row>
    <row r="252" spans="2:41" ht="15.5">
      <c r="B252" s="125"/>
      <c r="C252" s="126"/>
      <c r="D252" s="126"/>
      <c r="E252" s="127"/>
      <c r="F252" s="128"/>
      <c r="G252" s="126"/>
      <c r="H252" s="127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5"/>
      <c r="X252" s="126"/>
      <c r="Y252" s="126"/>
      <c r="Z252" s="126"/>
      <c r="AA252" s="126"/>
      <c r="AB252" s="126"/>
      <c r="AC252" s="126"/>
      <c r="AD252" s="126"/>
      <c r="AE252" s="127"/>
      <c r="AF252" s="126"/>
      <c r="AG252" s="126"/>
      <c r="AH252" s="127"/>
      <c r="AI252" s="126"/>
      <c r="AJ252" s="127"/>
      <c r="AK252" s="127"/>
      <c r="AL252" s="129"/>
      <c r="AM252" s="129"/>
      <c r="AN252" s="44"/>
      <c r="AO252" s="44"/>
    </row>
    <row r="253" spans="2:41" ht="15.5">
      <c r="B253" s="125"/>
      <c r="C253" s="126"/>
      <c r="D253" s="126"/>
      <c r="E253" s="127"/>
      <c r="F253" s="128"/>
      <c r="G253" s="126"/>
      <c r="H253" s="127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5"/>
      <c r="X253" s="126"/>
      <c r="Y253" s="126"/>
      <c r="Z253" s="126"/>
      <c r="AA253" s="126"/>
      <c r="AB253" s="126"/>
      <c r="AC253" s="126"/>
      <c r="AD253" s="126"/>
      <c r="AE253" s="127"/>
      <c r="AF253" s="126"/>
      <c r="AG253" s="126"/>
      <c r="AH253" s="127"/>
      <c r="AI253" s="126"/>
      <c r="AJ253" s="127"/>
      <c r="AK253" s="127"/>
      <c r="AL253" s="129"/>
      <c r="AM253" s="129"/>
      <c r="AN253" s="44"/>
      <c r="AO253" s="44"/>
    </row>
    <row r="254" spans="2:41" ht="15.5">
      <c r="B254" s="125"/>
      <c r="C254" s="126"/>
      <c r="D254" s="126"/>
      <c r="E254" s="127"/>
      <c r="F254" s="128"/>
      <c r="G254" s="126"/>
      <c r="H254" s="127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5"/>
      <c r="X254" s="126"/>
      <c r="Y254" s="126"/>
      <c r="Z254" s="126"/>
      <c r="AA254" s="126"/>
      <c r="AB254" s="126"/>
      <c r="AC254" s="126"/>
      <c r="AD254" s="126"/>
      <c r="AE254" s="127"/>
      <c r="AF254" s="126"/>
      <c r="AG254" s="126"/>
      <c r="AH254" s="127"/>
      <c r="AI254" s="126"/>
      <c r="AJ254" s="127"/>
      <c r="AK254" s="127"/>
      <c r="AL254" s="129"/>
      <c r="AM254" s="129"/>
      <c r="AN254" s="44"/>
      <c r="AO254" s="44"/>
    </row>
    <row r="255" spans="2:41" ht="15.5">
      <c r="B255" s="125"/>
      <c r="C255" s="126"/>
      <c r="D255" s="126"/>
      <c r="E255" s="127"/>
      <c r="F255" s="128"/>
      <c r="G255" s="126"/>
      <c r="H255" s="127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5"/>
      <c r="X255" s="126"/>
      <c r="Y255" s="126"/>
      <c r="Z255" s="126"/>
      <c r="AA255" s="126"/>
      <c r="AB255" s="126"/>
      <c r="AC255" s="126"/>
      <c r="AD255" s="126"/>
      <c r="AE255" s="127"/>
      <c r="AF255" s="126"/>
      <c r="AG255" s="126"/>
      <c r="AH255" s="127"/>
      <c r="AI255" s="126"/>
      <c r="AJ255" s="127"/>
      <c r="AK255" s="127"/>
      <c r="AL255" s="129"/>
      <c r="AM255" s="129"/>
      <c r="AN255" s="44"/>
      <c r="AO255" s="44"/>
    </row>
    <row r="256" spans="2:41" ht="15.5">
      <c r="B256" s="125"/>
      <c r="C256" s="126"/>
      <c r="D256" s="126"/>
      <c r="E256" s="127"/>
      <c r="F256" s="128"/>
      <c r="G256" s="126"/>
      <c r="H256" s="127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5"/>
      <c r="X256" s="126"/>
      <c r="Y256" s="126"/>
      <c r="Z256" s="126"/>
      <c r="AA256" s="126"/>
      <c r="AB256" s="126"/>
      <c r="AC256" s="126"/>
      <c r="AD256" s="126"/>
      <c r="AE256" s="127"/>
      <c r="AF256" s="126"/>
      <c r="AG256" s="126"/>
      <c r="AH256" s="127"/>
      <c r="AI256" s="126"/>
      <c r="AJ256" s="127"/>
      <c r="AK256" s="127"/>
      <c r="AL256" s="129"/>
      <c r="AM256" s="129"/>
      <c r="AN256" s="44"/>
      <c r="AO256" s="44"/>
    </row>
    <row r="257" spans="2:41" ht="15.5">
      <c r="B257" s="125"/>
      <c r="C257" s="126"/>
      <c r="D257" s="126"/>
      <c r="E257" s="127"/>
      <c r="F257" s="128"/>
      <c r="G257" s="126"/>
      <c r="H257" s="127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5"/>
      <c r="X257" s="126"/>
      <c r="Y257" s="126"/>
      <c r="Z257" s="126"/>
      <c r="AA257" s="126"/>
      <c r="AB257" s="126"/>
      <c r="AC257" s="126"/>
      <c r="AD257" s="126"/>
      <c r="AE257" s="127"/>
      <c r="AF257" s="126"/>
      <c r="AG257" s="126"/>
      <c r="AH257" s="127"/>
      <c r="AI257" s="126"/>
      <c r="AJ257" s="127"/>
      <c r="AK257" s="127"/>
      <c r="AL257" s="129"/>
      <c r="AM257" s="129"/>
      <c r="AN257" s="44"/>
      <c r="AO257" s="44"/>
    </row>
    <row r="258" spans="2:41" ht="15.5">
      <c r="B258" s="125"/>
      <c r="C258" s="126"/>
      <c r="D258" s="126"/>
      <c r="E258" s="127"/>
      <c r="F258" s="128"/>
      <c r="G258" s="126"/>
      <c r="H258" s="127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5"/>
      <c r="X258" s="126"/>
      <c r="Y258" s="126"/>
      <c r="Z258" s="126"/>
      <c r="AA258" s="126"/>
      <c r="AB258" s="126"/>
      <c r="AC258" s="126"/>
      <c r="AD258" s="126"/>
      <c r="AE258" s="127"/>
      <c r="AF258" s="126"/>
      <c r="AG258" s="126"/>
      <c r="AH258" s="127"/>
      <c r="AI258" s="126"/>
      <c r="AJ258" s="127"/>
      <c r="AK258" s="127"/>
      <c r="AL258" s="129"/>
      <c r="AM258" s="129"/>
      <c r="AN258" s="44"/>
      <c r="AO258" s="44"/>
    </row>
    <row r="259" spans="2:41" ht="15.5">
      <c r="B259" s="125"/>
      <c r="C259" s="126"/>
      <c r="D259" s="126"/>
      <c r="E259" s="127"/>
      <c r="F259" s="128"/>
      <c r="G259" s="126"/>
      <c r="H259" s="127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5"/>
      <c r="X259" s="126"/>
      <c r="Y259" s="126"/>
      <c r="Z259" s="126"/>
      <c r="AA259" s="126"/>
      <c r="AB259" s="126"/>
      <c r="AC259" s="126"/>
      <c r="AD259" s="126"/>
      <c r="AE259" s="127"/>
      <c r="AF259" s="126"/>
      <c r="AG259" s="126"/>
      <c r="AH259" s="127"/>
      <c r="AI259" s="126"/>
      <c r="AJ259" s="127"/>
      <c r="AK259" s="127"/>
      <c r="AL259" s="129"/>
      <c r="AM259" s="129"/>
      <c r="AN259" s="44"/>
      <c r="AO259" s="44"/>
    </row>
    <row r="260" spans="2:41" ht="15.5">
      <c r="B260" s="125"/>
      <c r="C260" s="126"/>
      <c r="D260" s="126"/>
      <c r="E260" s="127"/>
      <c r="F260" s="128"/>
      <c r="G260" s="126"/>
      <c r="H260" s="127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5"/>
      <c r="X260" s="126"/>
      <c r="Y260" s="126"/>
      <c r="Z260" s="126"/>
      <c r="AA260" s="126"/>
      <c r="AB260" s="126"/>
      <c r="AC260" s="126"/>
      <c r="AD260" s="126"/>
      <c r="AE260" s="127"/>
      <c r="AF260" s="126"/>
      <c r="AG260" s="126"/>
      <c r="AH260" s="127"/>
      <c r="AI260" s="126"/>
      <c r="AJ260" s="127"/>
      <c r="AK260" s="127"/>
      <c r="AL260" s="129"/>
      <c r="AM260" s="129"/>
      <c r="AN260" s="44"/>
      <c r="AO260" s="44"/>
    </row>
    <row r="261" spans="2:41" ht="15.5">
      <c r="B261" s="125"/>
      <c r="C261" s="126"/>
      <c r="D261" s="126"/>
      <c r="E261" s="127"/>
      <c r="F261" s="128"/>
      <c r="G261" s="126"/>
      <c r="H261" s="127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5"/>
      <c r="X261" s="126"/>
      <c r="Y261" s="126"/>
      <c r="Z261" s="126"/>
      <c r="AA261" s="126"/>
      <c r="AB261" s="126"/>
      <c r="AC261" s="126"/>
      <c r="AD261" s="126"/>
      <c r="AE261" s="127"/>
      <c r="AF261" s="126"/>
      <c r="AG261" s="126"/>
      <c r="AH261" s="127"/>
      <c r="AI261" s="126"/>
      <c r="AJ261" s="127"/>
      <c r="AK261" s="127"/>
      <c r="AL261" s="129"/>
      <c r="AM261" s="129"/>
      <c r="AN261" s="44"/>
      <c r="AO261" s="44"/>
    </row>
    <row r="262" spans="2:41" ht="15.5">
      <c r="B262" s="125"/>
      <c r="C262" s="126"/>
      <c r="D262" s="126"/>
      <c r="E262" s="127"/>
      <c r="F262" s="128"/>
      <c r="G262" s="126"/>
      <c r="H262" s="127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5"/>
      <c r="X262" s="126"/>
      <c r="Y262" s="126"/>
      <c r="Z262" s="126"/>
      <c r="AA262" s="126"/>
      <c r="AB262" s="126"/>
      <c r="AC262" s="126"/>
      <c r="AD262" s="126"/>
      <c r="AE262" s="127"/>
      <c r="AF262" s="126"/>
      <c r="AG262" s="126"/>
      <c r="AH262" s="127"/>
      <c r="AI262" s="126"/>
      <c r="AJ262" s="127"/>
      <c r="AK262" s="127"/>
      <c r="AL262" s="129"/>
      <c r="AM262" s="129"/>
      <c r="AN262" s="44"/>
      <c r="AO262" s="44"/>
    </row>
    <row r="263" spans="2:41" ht="15.5">
      <c r="B263" s="125"/>
      <c r="C263" s="126"/>
      <c r="D263" s="126"/>
      <c r="E263" s="127"/>
      <c r="F263" s="128"/>
      <c r="G263" s="126"/>
      <c r="H263" s="127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5"/>
      <c r="X263" s="126"/>
      <c r="Y263" s="126"/>
      <c r="Z263" s="126"/>
      <c r="AA263" s="126"/>
      <c r="AB263" s="126"/>
      <c r="AC263" s="126"/>
      <c r="AD263" s="126"/>
      <c r="AE263" s="127"/>
      <c r="AF263" s="126"/>
      <c r="AG263" s="126"/>
      <c r="AH263" s="127"/>
      <c r="AI263" s="126"/>
      <c r="AJ263" s="127"/>
      <c r="AK263" s="127"/>
      <c r="AL263" s="129"/>
      <c r="AM263" s="129"/>
      <c r="AN263" s="44"/>
      <c r="AO263" s="44"/>
    </row>
    <row r="264" spans="2:41" ht="15.5">
      <c r="B264" s="125"/>
      <c r="C264" s="126"/>
      <c r="D264" s="126"/>
      <c r="E264" s="127"/>
      <c r="F264" s="128"/>
      <c r="G264" s="126"/>
      <c r="H264" s="127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5"/>
      <c r="X264" s="126"/>
      <c r="Y264" s="126"/>
      <c r="Z264" s="126"/>
      <c r="AA264" s="126"/>
      <c r="AB264" s="126"/>
      <c r="AC264" s="126"/>
      <c r="AD264" s="126"/>
      <c r="AE264" s="127"/>
      <c r="AF264" s="126"/>
      <c r="AG264" s="126"/>
      <c r="AH264" s="127"/>
      <c r="AI264" s="126"/>
      <c r="AJ264" s="127"/>
      <c r="AK264" s="127"/>
      <c r="AL264" s="129"/>
      <c r="AM264" s="129"/>
      <c r="AN264" s="44"/>
      <c r="AO264" s="44"/>
    </row>
    <row r="265" spans="2:41" ht="15.5">
      <c r="B265" s="125"/>
      <c r="C265" s="126"/>
      <c r="D265" s="126"/>
      <c r="E265" s="127"/>
      <c r="F265" s="128"/>
      <c r="G265" s="126"/>
      <c r="H265" s="127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5"/>
      <c r="X265" s="126"/>
      <c r="Y265" s="126"/>
      <c r="Z265" s="126"/>
      <c r="AA265" s="126"/>
      <c r="AB265" s="126"/>
      <c r="AC265" s="126"/>
      <c r="AD265" s="126"/>
      <c r="AE265" s="127"/>
      <c r="AF265" s="126"/>
      <c r="AG265" s="126"/>
      <c r="AH265" s="127"/>
      <c r="AI265" s="126"/>
      <c r="AJ265" s="127"/>
      <c r="AK265" s="127"/>
      <c r="AL265" s="129"/>
      <c r="AM265" s="129"/>
      <c r="AN265" s="44"/>
      <c r="AO265" s="44"/>
    </row>
    <row r="266" spans="2:41" ht="15.5">
      <c r="B266" s="125"/>
      <c r="C266" s="126"/>
      <c r="D266" s="126"/>
      <c r="E266" s="127"/>
      <c r="F266" s="128"/>
      <c r="G266" s="126"/>
      <c r="H266" s="127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5"/>
      <c r="X266" s="126"/>
      <c r="Y266" s="126"/>
      <c r="Z266" s="126"/>
      <c r="AA266" s="126"/>
      <c r="AB266" s="126"/>
      <c r="AC266" s="126"/>
      <c r="AD266" s="126"/>
      <c r="AE266" s="127"/>
      <c r="AF266" s="126"/>
      <c r="AG266" s="126"/>
      <c r="AH266" s="127"/>
      <c r="AI266" s="126"/>
      <c r="AJ266" s="127"/>
      <c r="AK266" s="127"/>
      <c r="AL266" s="129"/>
      <c r="AM266" s="129"/>
      <c r="AN266" s="44"/>
      <c r="AO266" s="44"/>
    </row>
    <row r="267" spans="2:41" ht="15.5">
      <c r="B267" s="125"/>
      <c r="C267" s="126"/>
      <c r="D267" s="126"/>
      <c r="E267" s="127"/>
      <c r="F267" s="128"/>
      <c r="G267" s="126"/>
      <c r="H267" s="127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5"/>
      <c r="X267" s="126"/>
      <c r="Y267" s="126"/>
      <c r="Z267" s="126"/>
      <c r="AA267" s="126"/>
      <c r="AB267" s="126"/>
      <c r="AC267" s="126"/>
      <c r="AD267" s="126"/>
      <c r="AE267" s="127"/>
      <c r="AF267" s="126"/>
      <c r="AG267" s="126"/>
      <c r="AH267" s="127"/>
      <c r="AI267" s="126"/>
      <c r="AJ267" s="127"/>
      <c r="AK267" s="127"/>
      <c r="AL267" s="129"/>
      <c r="AM267" s="129"/>
      <c r="AN267" s="44"/>
      <c r="AO267" s="44"/>
    </row>
    <row r="268" spans="2:41" ht="15.5">
      <c r="B268" s="125"/>
      <c r="C268" s="126"/>
      <c r="D268" s="126"/>
      <c r="E268" s="127"/>
      <c r="F268" s="128"/>
      <c r="G268" s="126"/>
      <c r="H268" s="127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5"/>
      <c r="X268" s="126"/>
      <c r="Y268" s="126"/>
      <c r="Z268" s="126"/>
      <c r="AA268" s="126"/>
      <c r="AB268" s="126"/>
      <c r="AC268" s="126"/>
      <c r="AD268" s="126"/>
      <c r="AE268" s="127"/>
      <c r="AF268" s="126"/>
      <c r="AG268" s="126"/>
      <c r="AH268" s="127"/>
      <c r="AI268" s="126"/>
      <c r="AJ268" s="127"/>
      <c r="AK268" s="127"/>
      <c r="AL268" s="129"/>
      <c r="AM268" s="129"/>
      <c r="AN268" s="44"/>
      <c r="AO268" s="44"/>
    </row>
    <row r="269" spans="2:41" ht="15.5">
      <c r="B269" s="125"/>
      <c r="C269" s="126"/>
      <c r="D269" s="126"/>
      <c r="E269" s="127"/>
      <c r="F269" s="128"/>
      <c r="G269" s="126"/>
      <c r="H269" s="127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5"/>
      <c r="X269" s="126"/>
      <c r="Y269" s="126"/>
      <c r="Z269" s="126"/>
      <c r="AA269" s="126"/>
      <c r="AB269" s="126"/>
      <c r="AC269" s="126"/>
      <c r="AD269" s="126"/>
      <c r="AE269" s="127"/>
      <c r="AF269" s="126"/>
      <c r="AG269" s="126"/>
      <c r="AH269" s="127"/>
      <c r="AI269" s="126"/>
      <c r="AJ269" s="127"/>
      <c r="AK269" s="127"/>
      <c r="AL269" s="129"/>
      <c r="AM269" s="129"/>
      <c r="AN269" s="44"/>
      <c r="AO269" s="44"/>
    </row>
    <row r="270" spans="2:41" ht="15.5">
      <c r="B270" s="125"/>
      <c r="C270" s="126"/>
      <c r="D270" s="126"/>
      <c r="E270" s="127"/>
      <c r="F270" s="128"/>
      <c r="G270" s="126"/>
      <c r="H270" s="127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5"/>
      <c r="X270" s="126"/>
      <c r="Y270" s="126"/>
      <c r="Z270" s="126"/>
      <c r="AA270" s="126"/>
      <c r="AB270" s="126"/>
      <c r="AC270" s="126"/>
      <c r="AD270" s="126"/>
      <c r="AE270" s="127"/>
      <c r="AF270" s="126"/>
      <c r="AG270" s="126"/>
      <c r="AH270" s="127"/>
      <c r="AI270" s="126"/>
      <c r="AJ270" s="127"/>
      <c r="AK270" s="127"/>
      <c r="AL270" s="129"/>
      <c r="AM270" s="129"/>
      <c r="AN270" s="44"/>
      <c r="AO270" s="44"/>
    </row>
    <row r="271" spans="2:41" ht="15.5">
      <c r="B271" s="125"/>
      <c r="C271" s="126"/>
      <c r="D271" s="126"/>
      <c r="E271" s="127"/>
      <c r="F271" s="128"/>
      <c r="G271" s="126"/>
      <c r="H271" s="127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5"/>
      <c r="X271" s="126"/>
      <c r="Y271" s="126"/>
      <c r="Z271" s="126"/>
      <c r="AA271" s="126"/>
      <c r="AB271" s="126"/>
      <c r="AC271" s="126"/>
      <c r="AD271" s="126"/>
      <c r="AE271" s="127"/>
      <c r="AF271" s="126"/>
      <c r="AG271" s="126"/>
      <c r="AH271" s="127"/>
      <c r="AI271" s="126"/>
      <c r="AJ271" s="127"/>
      <c r="AK271" s="127"/>
      <c r="AL271" s="129"/>
      <c r="AM271" s="129"/>
      <c r="AN271" s="44"/>
      <c r="AO271" s="44"/>
    </row>
    <row r="272" spans="2:41" ht="15.5">
      <c r="B272" s="125"/>
      <c r="C272" s="126"/>
      <c r="D272" s="126"/>
      <c r="E272" s="127"/>
      <c r="F272" s="128"/>
      <c r="G272" s="126"/>
      <c r="H272" s="127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5"/>
      <c r="X272" s="126"/>
      <c r="Y272" s="126"/>
      <c r="Z272" s="126"/>
      <c r="AA272" s="126"/>
      <c r="AB272" s="126"/>
      <c r="AC272" s="126"/>
      <c r="AD272" s="126"/>
      <c r="AE272" s="127"/>
      <c r="AF272" s="126"/>
      <c r="AG272" s="126"/>
      <c r="AH272" s="127"/>
      <c r="AI272" s="126"/>
      <c r="AJ272" s="127"/>
      <c r="AK272" s="127"/>
      <c r="AL272" s="129"/>
      <c r="AM272" s="129"/>
      <c r="AN272" s="44"/>
      <c r="AO272" s="44"/>
    </row>
    <row r="273" spans="2:41" ht="15.5">
      <c r="B273" s="125"/>
      <c r="C273" s="126"/>
      <c r="D273" s="126"/>
      <c r="E273" s="127"/>
      <c r="F273" s="128"/>
      <c r="G273" s="126"/>
      <c r="H273" s="127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5"/>
      <c r="X273" s="126"/>
      <c r="Y273" s="126"/>
      <c r="Z273" s="126"/>
      <c r="AA273" s="126"/>
      <c r="AB273" s="126"/>
      <c r="AC273" s="126"/>
      <c r="AD273" s="126"/>
      <c r="AE273" s="127"/>
      <c r="AF273" s="126"/>
      <c r="AG273" s="126"/>
      <c r="AH273" s="127"/>
      <c r="AI273" s="126"/>
      <c r="AJ273" s="127"/>
      <c r="AK273" s="127"/>
      <c r="AL273" s="129"/>
      <c r="AM273" s="129"/>
      <c r="AN273" s="44"/>
      <c r="AO273" s="44"/>
    </row>
    <row r="274" spans="2:41" ht="15.5">
      <c r="B274" s="125"/>
      <c r="C274" s="126"/>
      <c r="D274" s="126"/>
      <c r="E274" s="127"/>
      <c r="F274" s="128"/>
      <c r="G274" s="126"/>
      <c r="H274" s="127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5"/>
      <c r="X274" s="126"/>
      <c r="Y274" s="126"/>
      <c r="Z274" s="126"/>
      <c r="AA274" s="126"/>
      <c r="AB274" s="126"/>
      <c r="AC274" s="126"/>
      <c r="AD274" s="126"/>
      <c r="AE274" s="127"/>
      <c r="AF274" s="126"/>
      <c r="AG274" s="126"/>
      <c r="AH274" s="127"/>
      <c r="AI274" s="126"/>
      <c r="AJ274" s="127"/>
      <c r="AK274" s="127"/>
      <c r="AL274" s="129"/>
      <c r="AM274" s="129"/>
      <c r="AN274" s="44"/>
      <c r="AO274" s="44"/>
    </row>
    <row r="275" spans="2:41" ht="15.5">
      <c r="B275" s="125"/>
      <c r="C275" s="126"/>
      <c r="D275" s="126"/>
      <c r="E275" s="127"/>
      <c r="F275" s="128"/>
      <c r="G275" s="126"/>
      <c r="H275" s="127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5"/>
      <c r="X275" s="126"/>
      <c r="Y275" s="126"/>
      <c r="Z275" s="126"/>
      <c r="AA275" s="126"/>
      <c r="AB275" s="126"/>
      <c r="AC275" s="126"/>
      <c r="AD275" s="126"/>
      <c r="AE275" s="127"/>
      <c r="AF275" s="126"/>
      <c r="AG275" s="126"/>
      <c r="AH275" s="127"/>
      <c r="AI275" s="126"/>
      <c r="AJ275" s="127"/>
      <c r="AK275" s="127"/>
      <c r="AL275" s="129"/>
      <c r="AM275" s="129"/>
      <c r="AN275" s="44"/>
      <c r="AO275" s="44"/>
    </row>
    <row r="276" spans="2:41" ht="15.5">
      <c r="B276" s="125"/>
      <c r="C276" s="126"/>
      <c r="D276" s="126"/>
      <c r="E276" s="127"/>
      <c r="F276" s="128"/>
      <c r="G276" s="126"/>
      <c r="H276" s="127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5"/>
      <c r="X276" s="126"/>
      <c r="Y276" s="126"/>
      <c r="Z276" s="126"/>
      <c r="AA276" s="126"/>
      <c r="AB276" s="126"/>
      <c r="AC276" s="126"/>
      <c r="AD276" s="126"/>
      <c r="AE276" s="127"/>
      <c r="AF276" s="126"/>
      <c r="AG276" s="126"/>
      <c r="AH276" s="127"/>
      <c r="AI276" s="126"/>
      <c r="AJ276" s="127"/>
      <c r="AK276" s="127"/>
      <c r="AL276" s="129"/>
      <c r="AM276" s="129"/>
      <c r="AN276" s="44"/>
      <c r="AO276" s="44"/>
    </row>
    <row r="277" spans="2:41" ht="15.5">
      <c r="B277" s="125"/>
      <c r="C277" s="126"/>
      <c r="D277" s="126"/>
      <c r="E277" s="127"/>
      <c r="F277" s="128"/>
      <c r="G277" s="126"/>
      <c r="H277" s="127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5"/>
      <c r="X277" s="126"/>
      <c r="Y277" s="126"/>
      <c r="Z277" s="126"/>
      <c r="AA277" s="126"/>
      <c r="AB277" s="126"/>
      <c r="AC277" s="126"/>
      <c r="AD277" s="126"/>
      <c r="AE277" s="127"/>
      <c r="AF277" s="126"/>
      <c r="AG277" s="126"/>
      <c r="AH277" s="127"/>
      <c r="AI277" s="126"/>
      <c r="AJ277" s="127"/>
      <c r="AK277" s="127"/>
      <c r="AL277" s="129"/>
      <c r="AM277" s="129"/>
      <c r="AN277" s="44"/>
      <c r="AO277" s="44"/>
    </row>
    <row r="278" spans="2:41" ht="15.5">
      <c r="B278" s="125"/>
      <c r="C278" s="126"/>
      <c r="D278" s="126"/>
      <c r="E278" s="127"/>
      <c r="F278" s="128"/>
      <c r="G278" s="126"/>
      <c r="H278" s="127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5"/>
      <c r="X278" s="126"/>
      <c r="Y278" s="126"/>
      <c r="Z278" s="126"/>
      <c r="AA278" s="126"/>
      <c r="AB278" s="126"/>
      <c r="AC278" s="126"/>
      <c r="AD278" s="126"/>
      <c r="AE278" s="127"/>
      <c r="AF278" s="126"/>
      <c r="AG278" s="126"/>
      <c r="AH278" s="127"/>
      <c r="AI278" s="126"/>
      <c r="AJ278" s="127"/>
      <c r="AK278" s="127"/>
      <c r="AL278" s="129"/>
      <c r="AM278" s="129"/>
      <c r="AN278" s="44"/>
      <c r="AO278" s="44"/>
    </row>
    <row r="279" spans="2:41" ht="15.5">
      <c r="B279" s="125"/>
      <c r="C279" s="126"/>
      <c r="D279" s="126"/>
      <c r="E279" s="127"/>
      <c r="F279" s="128"/>
      <c r="G279" s="126"/>
      <c r="H279" s="127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5"/>
      <c r="X279" s="126"/>
      <c r="Y279" s="126"/>
      <c r="Z279" s="126"/>
      <c r="AA279" s="126"/>
      <c r="AB279" s="126"/>
      <c r="AC279" s="126"/>
      <c r="AD279" s="126"/>
      <c r="AE279" s="127"/>
      <c r="AF279" s="126"/>
      <c r="AG279" s="126"/>
      <c r="AH279" s="127"/>
      <c r="AI279" s="126"/>
      <c r="AJ279" s="127"/>
      <c r="AK279" s="127"/>
      <c r="AL279" s="129"/>
      <c r="AM279" s="129"/>
      <c r="AN279" s="44"/>
      <c r="AO279" s="44"/>
    </row>
    <row r="280" spans="2:41" ht="15.5">
      <c r="B280" s="125"/>
      <c r="C280" s="126"/>
      <c r="D280" s="126"/>
      <c r="E280" s="127"/>
      <c r="F280" s="128"/>
      <c r="G280" s="126"/>
      <c r="H280" s="127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5"/>
      <c r="X280" s="126"/>
      <c r="Y280" s="126"/>
      <c r="Z280" s="126"/>
      <c r="AA280" s="126"/>
      <c r="AB280" s="126"/>
      <c r="AC280" s="126"/>
      <c r="AD280" s="126"/>
      <c r="AE280" s="127"/>
      <c r="AF280" s="126"/>
      <c r="AG280" s="126"/>
      <c r="AH280" s="127"/>
      <c r="AI280" s="126"/>
      <c r="AJ280" s="127"/>
      <c r="AK280" s="127"/>
      <c r="AL280" s="129"/>
      <c r="AM280" s="129"/>
      <c r="AN280" s="44"/>
      <c r="AO280" s="44"/>
    </row>
    <row r="281" spans="2:41" ht="15.5">
      <c r="B281" s="125"/>
      <c r="C281" s="126"/>
      <c r="D281" s="126"/>
      <c r="E281" s="127"/>
      <c r="F281" s="128"/>
      <c r="G281" s="126"/>
      <c r="H281" s="127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5"/>
      <c r="X281" s="126"/>
      <c r="Y281" s="126"/>
      <c r="Z281" s="126"/>
      <c r="AA281" s="126"/>
      <c r="AB281" s="126"/>
      <c r="AC281" s="126"/>
      <c r="AD281" s="126"/>
      <c r="AE281" s="127"/>
      <c r="AF281" s="126"/>
      <c r="AG281" s="126"/>
      <c r="AH281" s="127"/>
      <c r="AI281" s="126"/>
      <c r="AJ281" s="127"/>
      <c r="AK281" s="127"/>
      <c r="AL281" s="129"/>
      <c r="AM281" s="129"/>
      <c r="AN281" s="44"/>
      <c r="AO281" s="44"/>
    </row>
    <row r="282" spans="2:41" ht="15.5">
      <c r="B282" s="125"/>
      <c r="C282" s="126"/>
      <c r="D282" s="126"/>
      <c r="E282" s="127"/>
      <c r="F282" s="128"/>
      <c r="G282" s="126"/>
      <c r="H282" s="127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5"/>
      <c r="X282" s="126"/>
      <c r="Y282" s="126"/>
      <c r="Z282" s="126"/>
      <c r="AA282" s="126"/>
      <c r="AB282" s="126"/>
      <c r="AC282" s="126"/>
      <c r="AD282" s="126"/>
      <c r="AE282" s="127"/>
      <c r="AF282" s="126"/>
      <c r="AG282" s="126"/>
      <c r="AH282" s="127"/>
      <c r="AI282" s="126"/>
      <c r="AJ282" s="127"/>
      <c r="AK282" s="127"/>
      <c r="AL282" s="129"/>
      <c r="AM282" s="129"/>
      <c r="AN282" s="44"/>
      <c r="AO282" s="44"/>
    </row>
    <row r="283" spans="2:41" ht="15.5">
      <c r="B283" s="125"/>
      <c r="C283" s="126"/>
      <c r="D283" s="126"/>
      <c r="E283" s="127"/>
      <c r="F283" s="128"/>
      <c r="G283" s="126"/>
      <c r="H283" s="127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5"/>
      <c r="X283" s="126"/>
      <c r="Y283" s="126"/>
      <c r="Z283" s="126"/>
      <c r="AA283" s="126"/>
      <c r="AB283" s="126"/>
      <c r="AC283" s="126"/>
      <c r="AD283" s="126"/>
      <c r="AE283" s="127"/>
      <c r="AF283" s="126"/>
      <c r="AG283" s="126"/>
      <c r="AH283" s="127"/>
      <c r="AI283" s="126"/>
      <c r="AJ283" s="127"/>
      <c r="AK283" s="127"/>
      <c r="AL283" s="129"/>
      <c r="AM283" s="129"/>
      <c r="AN283" s="44"/>
      <c r="AO283" s="44"/>
    </row>
    <row r="284" spans="2:41" ht="15.5">
      <c r="B284" s="125"/>
      <c r="C284" s="126"/>
      <c r="D284" s="126"/>
      <c r="E284" s="127"/>
      <c r="F284" s="128"/>
      <c r="G284" s="126"/>
      <c r="H284" s="127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5"/>
      <c r="X284" s="126"/>
      <c r="Y284" s="126"/>
      <c r="Z284" s="126"/>
      <c r="AA284" s="126"/>
      <c r="AB284" s="126"/>
      <c r="AC284" s="126"/>
      <c r="AD284" s="126"/>
      <c r="AE284" s="127"/>
      <c r="AF284" s="126"/>
      <c r="AG284" s="126"/>
      <c r="AH284" s="127"/>
      <c r="AI284" s="126"/>
      <c r="AJ284" s="127"/>
      <c r="AK284" s="127"/>
      <c r="AL284" s="129"/>
      <c r="AM284" s="129"/>
      <c r="AN284" s="44"/>
      <c r="AO284" s="44"/>
    </row>
    <row r="285" spans="2:41" ht="15.5">
      <c r="B285" s="125"/>
      <c r="C285" s="126"/>
      <c r="D285" s="126"/>
      <c r="E285" s="127"/>
      <c r="F285" s="128"/>
      <c r="G285" s="126"/>
      <c r="H285" s="127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5"/>
      <c r="X285" s="126"/>
      <c r="Y285" s="126"/>
      <c r="Z285" s="126"/>
      <c r="AA285" s="126"/>
      <c r="AB285" s="126"/>
      <c r="AC285" s="126"/>
      <c r="AD285" s="126"/>
      <c r="AE285" s="127"/>
      <c r="AF285" s="126"/>
      <c r="AG285" s="126"/>
      <c r="AH285" s="127"/>
      <c r="AI285" s="126"/>
      <c r="AJ285" s="127"/>
      <c r="AK285" s="127"/>
      <c r="AL285" s="129"/>
      <c r="AM285" s="129"/>
      <c r="AN285" s="44"/>
      <c r="AO285" s="44"/>
    </row>
    <row r="286" spans="2:41" ht="15.5">
      <c r="B286" s="125"/>
      <c r="C286" s="126"/>
      <c r="D286" s="126"/>
      <c r="E286" s="127"/>
      <c r="F286" s="128"/>
      <c r="G286" s="126"/>
      <c r="H286" s="127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5"/>
      <c r="X286" s="126"/>
      <c r="Y286" s="126"/>
      <c r="Z286" s="126"/>
      <c r="AA286" s="126"/>
      <c r="AB286" s="126"/>
      <c r="AC286" s="126"/>
      <c r="AD286" s="126"/>
      <c r="AE286" s="127"/>
      <c r="AF286" s="126"/>
      <c r="AG286" s="126"/>
      <c r="AH286" s="127"/>
      <c r="AI286" s="126"/>
      <c r="AJ286" s="127"/>
      <c r="AK286" s="127"/>
      <c r="AL286" s="129"/>
      <c r="AM286" s="129"/>
      <c r="AN286" s="44"/>
      <c r="AO286" s="44"/>
    </row>
    <row r="287" spans="2:41" ht="15.5">
      <c r="B287" s="125"/>
      <c r="C287" s="126"/>
      <c r="D287" s="126"/>
      <c r="E287" s="127"/>
      <c r="F287" s="128"/>
      <c r="G287" s="126"/>
      <c r="H287" s="127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5"/>
      <c r="X287" s="126"/>
      <c r="Y287" s="126"/>
      <c r="Z287" s="126"/>
      <c r="AA287" s="126"/>
      <c r="AB287" s="126"/>
      <c r="AC287" s="126"/>
      <c r="AD287" s="126"/>
      <c r="AE287" s="127"/>
      <c r="AF287" s="126"/>
      <c r="AG287" s="126"/>
      <c r="AH287" s="127"/>
      <c r="AI287" s="126"/>
      <c r="AJ287" s="127"/>
      <c r="AK287" s="127"/>
      <c r="AL287" s="129"/>
      <c r="AM287" s="129"/>
      <c r="AN287" s="44"/>
      <c r="AO287" s="44"/>
    </row>
    <row r="288" spans="2:41" ht="15.5">
      <c r="B288" s="125"/>
      <c r="C288" s="126"/>
      <c r="D288" s="126"/>
      <c r="E288" s="127"/>
      <c r="F288" s="128"/>
      <c r="G288" s="126"/>
      <c r="H288" s="127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5"/>
      <c r="X288" s="126"/>
      <c r="Y288" s="126"/>
      <c r="Z288" s="126"/>
      <c r="AA288" s="126"/>
      <c r="AB288" s="126"/>
      <c r="AC288" s="126"/>
      <c r="AD288" s="126"/>
      <c r="AE288" s="127"/>
      <c r="AF288" s="126"/>
      <c r="AG288" s="126"/>
      <c r="AH288" s="127"/>
      <c r="AI288" s="126"/>
      <c r="AJ288" s="127"/>
      <c r="AK288" s="127"/>
      <c r="AL288" s="129"/>
      <c r="AM288" s="129"/>
      <c r="AN288" s="44"/>
      <c r="AO288" s="44"/>
    </row>
    <row r="289" spans="2:41" ht="15.5">
      <c r="B289" s="125"/>
      <c r="C289" s="126"/>
      <c r="D289" s="126"/>
      <c r="E289" s="127"/>
      <c r="F289" s="128"/>
      <c r="G289" s="126"/>
      <c r="H289" s="127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5"/>
      <c r="X289" s="126"/>
      <c r="Y289" s="126"/>
      <c r="Z289" s="126"/>
      <c r="AA289" s="126"/>
      <c r="AB289" s="126"/>
      <c r="AC289" s="126"/>
      <c r="AD289" s="126"/>
      <c r="AE289" s="127"/>
      <c r="AF289" s="126"/>
      <c r="AG289" s="126"/>
      <c r="AH289" s="127"/>
      <c r="AI289" s="126"/>
      <c r="AJ289" s="127"/>
      <c r="AK289" s="127"/>
      <c r="AL289" s="129"/>
      <c r="AM289" s="129"/>
      <c r="AN289" s="44"/>
      <c r="AO289" s="44"/>
    </row>
    <row r="290" spans="2:41" ht="15.5">
      <c r="B290" s="125"/>
      <c r="C290" s="126"/>
      <c r="D290" s="126"/>
      <c r="E290" s="127"/>
      <c r="F290" s="128"/>
      <c r="G290" s="126"/>
      <c r="H290" s="127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5"/>
      <c r="X290" s="126"/>
      <c r="Y290" s="126"/>
      <c r="Z290" s="126"/>
      <c r="AA290" s="126"/>
      <c r="AB290" s="126"/>
      <c r="AC290" s="126"/>
      <c r="AD290" s="126"/>
      <c r="AE290" s="127"/>
      <c r="AF290" s="126"/>
      <c r="AG290" s="126"/>
      <c r="AH290" s="127"/>
      <c r="AI290" s="126"/>
      <c r="AJ290" s="127"/>
      <c r="AK290" s="127"/>
      <c r="AL290" s="129"/>
      <c r="AM290" s="129"/>
      <c r="AN290" s="44"/>
      <c r="AO290" s="44"/>
    </row>
    <row r="291" spans="2:41" ht="15.5">
      <c r="B291" s="125"/>
      <c r="C291" s="126"/>
      <c r="D291" s="126"/>
      <c r="E291" s="127"/>
      <c r="F291" s="128"/>
      <c r="G291" s="126"/>
      <c r="H291" s="127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5"/>
      <c r="X291" s="126"/>
      <c r="Y291" s="126"/>
      <c r="Z291" s="126"/>
      <c r="AA291" s="126"/>
      <c r="AB291" s="126"/>
      <c r="AC291" s="126"/>
      <c r="AD291" s="126"/>
      <c r="AE291" s="127"/>
      <c r="AF291" s="126"/>
      <c r="AG291" s="126"/>
      <c r="AH291" s="127"/>
      <c r="AI291" s="126"/>
      <c r="AJ291" s="127"/>
      <c r="AK291" s="127"/>
      <c r="AL291" s="129"/>
      <c r="AM291" s="129"/>
      <c r="AN291" s="44"/>
      <c r="AO291" s="44"/>
    </row>
    <row r="292" spans="2:41" ht="15.5">
      <c r="B292" s="125"/>
      <c r="C292" s="126"/>
      <c r="D292" s="126"/>
      <c r="E292" s="127"/>
      <c r="F292" s="128"/>
      <c r="G292" s="126"/>
      <c r="H292" s="127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5"/>
      <c r="X292" s="126"/>
      <c r="Y292" s="126"/>
      <c r="Z292" s="126"/>
      <c r="AA292" s="126"/>
      <c r="AB292" s="126"/>
      <c r="AC292" s="126"/>
      <c r="AD292" s="126"/>
      <c r="AE292" s="127"/>
      <c r="AF292" s="126"/>
      <c r="AG292" s="126"/>
      <c r="AH292" s="127"/>
      <c r="AI292" s="126"/>
      <c r="AJ292" s="127"/>
      <c r="AK292" s="127"/>
      <c r="AL292" s="129"/>
      <c r="AM292" s="129"/>
      <c r="AN292" s="44"/>
      <c r="AO292" s="44"/>
    </row>
    <row r="293" spans="2:41" ht="15.5">
      <c r="B293" s="125"/>
      <c r="C293" s="126"/>
      <c r="D293" s="126"/>
      <c r="E293" s="127"/>
      <c r="F293" s="128"/>
      <c r="G293" s="126"/>
      <c r="H293" s="127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5"/>
      <c r="X293" s="126"/>
      <c r="Y293" s="126"/>
      <c r="Z293" s="126"/>
      <c r="AA293" s="126"/>
      <c r="AB293" s="126"/>
      <c r="AC293" s="126"/>
      <c r="AD293" s="126"/>
      <c r="AE293" s="127"/>
      <c r="AF293" s="126"/>
      <c r="AG293" s="126"/>
      <c r="AH293" s="127"/>
      <c r="AI293" s="126"/>
      <c r="AJ293" s="127"/>
      <c r="AK293" s="127"/>
      <c r="AL293" s="129"/>
      <c r="AM293" s="129"/>
      <c r="AN293" s="44"/>
      <c r="AO293" s="44"/>
    </row>
    <row r="294" spans="2:41" ht="15.5">
      <c r="B294" s="125"/>
      <c r="C294" s="126"/>
      <c r="D294" s="126"/>
      <c r="E294" s="127"/>
      <c r="F294" s="128"/>
      <c r="G294" s="126"/>
      <c r="H294" s="127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5"/>
      <c r="X294" s="126"/>
      <c r="Y294" s="126"/>
      <c r="Z294" s="126"/>
      <c r="AA294" s="126"/>
      <c r="AB294" s="126"/>
      <c r="AC294" s="126"/>
      <c r="AD294" s="126"/>
      <c r="AE294" s="127"/>
      <c r="AF294" s="126"/>
      <c r="AG294" s="126"/>
      <c r="AH294" s="127"/>
      <c r="AI294" s="126"/>
      <c r="AJ294" s="127"/>
      <c r="AK294" s="127"/>
      <c r="AL294" s="129"/>
      <c r="AM294" s="129"/>
      <c r="AN294" s="44"/>
      <c r="AO294" s="44"/>
    </row>
    <row r="295" spans="2:41" ht="15.5">
      <c r="B295" s="125"/>
      <c r="C295" s="126"/>
      <c r="D295" s="126"/>
      <c r="E295" s="127"/>
      <c r="F295" s="128"/>
      <c r="G295" s="126"/>
      <c r="H295" s="127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5"/>
      <c r="X295" s="126"/>
      <c r="Y295" s="126"/>
      <c r="Z295" s="126"/>
      <c r="AA295" s="126"/>
      <c r="AB295" s="126"/>
      <c r="AC295" s="126"/>
      <c r="AD295" s="126"/>
      <c r="AE295" s="127"/>
      <c r="AF295" s="126"/>
      <c r="AG295" s="126"/>
      <c r="AH295" s="127"/>
      <c r="AI295" s="126"/>
      <c r="AJ295" s="127"/>
      <c r="AK295" s="127"/>
      <c r="AL295" s="129"/>
      <c r="AM295" s="129"/>
      <c r="AN295" s="44"/>
      <c r="AO295" s="44"/>
    </row>
    <row r="296" spans="2:41" ht="15.5">
      <c r="B296" s="125"/>
      <c r="C296" s="126"/>
      <c r="D296" s="126"/>
      <c r="E296" s="127"/>
      <c r="F296" s="128"/>
      <c r="G296" s="126"/>
      <c r="H296" s="127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5"/>
      <c r="X296" s="126"/>
      <c r="Y296" s="126"/>
      <c r="Z296" s="126"/>
      <c r="AA296" s="126"/>
      <c r="AB296" s="126"/>
      <c r="AC296" s="126"/>
      <c r="AD296" s="126"/>
      <c r="AE296" s="127"/>
      <c r="AF296" s="126"/>
      <c r="AG296" s="126"/>
      <c r="AH296" s="127"/>
      <c r="AI296" s="126"/>
      <c r="AJ296" s="127"/>
      <c r="AK296" s="127"/>
      <c r="AL296" s="129"/>
      <c r="AM296" s="129"/>
      <c r="AN296" s="44"/>
      <c r="AO296" s="44"/>
    </row>
    <row r="297" spans="2:41" ht="15.5">
      <c r="B297" s="125"/>
      <c r="C297" s="126"/>
      <c r="D297" s="126"/>
      <c r="E297" s="127"/>
      <c r="F297" s="128"/>
      <c r="G297" s="126"/>
      <c r="H297" s="127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5"/>
      <c r="X297" s="126"/>
      <c r="Y297" s="126"/>
      <c r="Z297" s="126"/>
      <c r="AA297" s="126"/>
      <c r="AB297" s="126"/>
      <c r="AC297" s="126"/>
      <c r="AD297" s="126"/>
      <c r="AE297" s="127"/>
      <c r="AF297" s="126"/>
      <c r="AG297" s="126"/>
      <c r="AH297" s="127"/>
      <c r="AI297" s="126"/>
      <c r="AJ297" s="127"/>
      <c r="AK297" s="127"/>
      <c r="AL297" s="129"/>
      <c r="AM297" s="129"/>
      <c r="AN297" s="44"/>
      <c r="AO297" s="44"/>
    </row>
    <row r="298" spans="2:41" ht="15.5">
      <c r="B298" s="125"/>
      <c r="C298" s="126"/>
      <c r="D298" s="126"/>
      <c r="E298" s="127"/>
      <c r="F298" s="128"/>
      <c r="G298" s="126"/>
      <c r="H298" s="127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5"/>
      <c r="X298" s="126"/>
      <c r="Y298" s="126"/>
      <c r="Z298" s="126"/>
      <c r="AA298" s="126"/>
      <c r="AB298" s="126"/>
      <c r="AC298" s="126"/>
      <c r="AD298" s="126"/>
      <c r="AE298" s="127"/>
      <c r="AF298" s="126"/>
      <c r="AG298" s="126"/>
      <c r="AH298" s="127"/>
      <c r="AI298" s="126"/>
      <c r="AJ298" s="127"/>
      <c r="AK298" s="127"/>
      <c r="AL298" s="129"/>
      <c r="AM298" s="129"/>
      <c r="AN298" s="44"/>
      <c r="AO298" s="44"/>
    </row>
    <row r="299" spans="2:41" ht="15.5">
      <c r="B299" s="125"/>
      <c r="C299" s="126"/>
      <c r="D299" s="126"/>
      <c r="E299" s="127"/>
      <c r="F299" s="128"/>
      <c r="G299" s="126"/>
      <c r="H299" s="127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5"/>
      <c r="X299" s="126"/>
      <c r="Y299" s="126"/>
      <c r="Z299" s="126"/>
      <c r="AA299" s="126"/>
      <c r="AB299" s="126"/>
      <c r="AC299" s="126"/>
      <c r="AD299" s="126"/>
      <c r="AE299" s="127"/>
      <c r="AF299" s="126"/>
      <c r="AG299" s="126"/>
      <c r="AH299" s="127"/>
      <c r="AI299" s="126"/>
      <c r="AJ299" s="127"/>
      <c r="AK299" s="127"/>
      <c r="AL299" s="129"/>
      <c r="AM299" s="129"/>
      <c r="AN299" s="44"/>
      <c r="AO299" s="44"/>
    </row>
    <row r="300" spans="2:41" ht="15.5">
      <c r="B300" s="125"/>
      <c r="C300" s="126"/>
      <c r="D300" s="126"/>
      <c r="E300" s="127"/>
      <c r="F300" s="128"/>
      <c r="G300" s="126"/>
      <c r="H300" s="127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5"/>
      <c r="X300" s="126"/>
      <c r="Y300" s="126"/>
      <c r="Z300" s="126"/>
      <c r="AA300" s="126"/>
      <c r="AB300" s="126"/>
      <c r="AC300" s="126"/>
      <c r="AD300" s="126"/>
      <c r="AE300" s="127"/>
      <c r="AF300" s="126"/>
      <c r="AG300" s="126"/>
      <c r="AH300" s="127"/>
      <c r="AI300" s="126"/>
      <c r="AJ300" s="127"/>
      <c r="AK300" s="127"/>
      <c r="AL300" s="129"/>
      <c r="AM300" s="129"/>
      <c r="AN300" s="44"/>
      <c r="AO300" s="44"/>
    </row>
    <row r="301" spans="2:41" ht="15.5">
      <c r="B301" s="125"/>
      <c r="C301" s="126"/>
      <c r="D301" s="126"/>
      <c r="E301" s="127"/>
      <c r="F301" s="128"/>
      <c r="G301" s="126"/>
      <c r="H301" s="127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5"/>
      <c r="X301" s="126"/>
      <c r="Y301" s="126"/>
      <c r="Z301" s="126"/>
      <c r="AA301" s="126"/>
      <c r="AB301" s="126"/>
      <c r="AC301" s="126"/>
      <c r="AD301" s="126"/>
      <c r="AE301" s="127"/>
      <c r="AF301" s="126"/>
      <c r="AG301" s="126"/>
      <c r="AH301" s="127"/>
      <c r="AI301" s="126"/>
      <c r="AJ301" s="127"/>
      <c r="AK301" s="127"/>
      <c r="AL301" s="129"/>
      <c r="AM301" s="129"/>
      <c r="AN301" s="44"/>
      <c r="AO301" s="44"/>
    </row>
    <row r="302" spans="2:41" ht="15.5">
      <c r="B302" s="125"/>
      <c r="C302" s="126"/>
      <c r="D302" s="126"/>
      <c r="E302" s="127"/>
      <c r="F302" s="128"/>
      <c r="G302" s="126"/>
      <c r="H302" s="127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5"/>
      <c r="X302" s="126"/>
      <c r="Y302" s="126"/>
      <c r="Z302" s="126"/>
      <c r="AA302" s="126"/>
      <c r="AB302" s="126"/>
      <c r="AC302" s="126"/>
      <c r="AD302" s="126"/>
      <c r="AE302" s="127"/>
      <c r="AF302" s="126"/>
      <c r="AG302" s="126"/>
      <c r="AH302" s="127"/>
      <c r="AI302" s="126"/>
      <c r="AJ302" s="127"/>
      <c r="AK302" s="127"/>
      <c r="AL302" s="129"/>
      <c r="AM302" s="129"/>
      <c r="AN302" s="44"/>
      <c r="AO302" s="44"/>
    </row>
    <row r="303" spans="2:41" ht="15.5">
      <c r="B303" s="125"/>
      <c r="C303" s="126"/>
      <c r="D303" s="126"/>
      <c r="E303" s="127"/>
      <c r="F303" s="128"/>
      <c r="G303" s="126"/>
      <c r="H303" s="127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5"/>
      <c r="X303" s="126"/>
      <c r="Y303" s="126"/>
      <c r="Z303" s="126"/>
      <c r="AA303" s="126"/>
      <c r="AB303" s="126"/>
      <c r="AC303" s="126"/>
      <c r="AD303" s="126"/>
      <c r="AE303" s="127"/>
      <c r="AF303" s="126"/>
      <c r="AG303" s="126"/>
      <c r="AH303" s="127"/>
      <c r="AI303" s="126"/>
      <c r="AJ303" s="127"/>
      <c r="AK303" s="127"/>
      <c r="AL303" s="129"/>
      <c r="AM303" s="129"/>
      <c r="AN303" s="44"/>
      <c r="AO303" s="44"/>
    </row>
    <row r="304" spans="2:41" ht="15.5">
      <c r="B304" s="125"/>
      <c r="C304" s="126"/>
      <c r="D304" s="126"/>
      <c r="E304" s="127"/>
      <c r="F304" s="128"/>
      <c r="G304" s="126"/>
      <c r="H304" s="127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5"/>
      <c r="X304" s="126"/>
      <c r="Y304" s="126"/>
      <c r="Z304" s="126"/>
      <c r="AA304" s="126"/>
      <c r="AB304" s="126"/>
      <c r="AC304" s="126"/>
      <c r="AD304" s="126"/>
      <c r="AE304" s="127"/>
      <c r="AF304" s="126"/>
      <c r="AG304" s="126"/>
      <c r="AH304" s="127"/>
      <c r="AI304" s="126"/>
      <c r="AJ304" s="127"/>
      <c r="AK304" s="127"/>
      <c r="AL304" s="129"/>
      <c r="AM304" s="129"/>
      <c r="AN304" s="44"/>
      <c r="AO304" s="44"/>
    </row>
    <row r="305" spans="2:41" ht="15.5">
      <c r="B305" s="125"/>
      <c r="C305" s="126"/>
      <c r="D305" s="126"/>
      <c r="E305" s="127"/>
      <c r="F305" s="128"/>
      <c r="G305" s="126"/>
      <c r="H305" s="127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5"/>
      <c r="X305" s="126"/>
      <c r="Y305" s="126"/>
      <c r="Z305" s="126"/>
      <c r="AA305" s="126"/>
      <c r="AB305" s="126"/>
      <c r="AC305" s="126"/>
      <c r="AD305" s="126"/>
      <c r="AE305" s="127"/>
      <c r="AF305" s="126"/>
      <c r="AG305" s="126"/>
      <c r="AH305" s="127"/>
      <c r="AI305" s="126"/>
      <c r="AJ305" s="127"/>
      <c r="AK305" s="127"/>
      <c r="AL305" s="129"/>
      <c r="AM305" s="129"/>
      <c r="AN305" s="44"/>
      <c r="AO305" s="44"/>
    </row>
    <row r="306" spans="2:41" ht="15.5">
      <c r="B306" s="125"/>
      <c r="C306" s="126"/>
      <c r="D306" s="126"/>
      <c r="E306" s="127"/>
      <c r="F306" s="128"/>
      <c r="G306" s="126"/>
      <c r="H306" s="127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5"/>
      <c r="X306" s="126"/>
      <c r="Y306" s="126"/>
      <c r="Z306" s="126"/>
      <c r="AA306" s="126"/>
      <c r="AB306" s="126"/>
      <c r="AC306" s="126"/>
      <c r="AD306" s="126"/>
      <c r="AE306" s="127"/>
      <c r="AF306" s="126"/>
      <c r="AG306" s="126"/>
      <c r="AH306" s="127"/>
      <c r="AI306" s="126"/>
      <c r="AJ306" s="127"/>
      <c r="AK306" s="127"/>
      <c r="AL306" s="129"/>
      <c r="AM306" s="129"/>
      <c r="AN306" s="44"/>
      <c r="AO306" s="44"/>
    </row>
    <row r="307" spans="2:41" ht="15.5">
      <c r="B307" s="125"/>
      <c r="C307" s="126"/>
      <c r="D307" s="126"/>
      <c r="E307" s="127"/>
      <c r="F307" s="128"/>
      <c r="G307" s="126"/>
      <c r="H307" s="127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5"/>
      <c r="X307" s="126"/>
      <c r="Y307" s="126"/>
      <c r="Z307" s="126"/>
      <c r="AA307" s="126"/>
      <c r="AB307" s="126"/>
      <c r="AC307" s="126"/>
      <c r="AD307" s="126"/>
      <c r="AE307" s="127"/>
      <c r="AF307" s="126"/>
      <c r="AG307" s="126"/>
      <c r="AH307" s="127"/>
      <c r="AI307" s="126"/>
      <c r="AJ307" s="127"/>
      <c r="AK307" s="127"/>
      <c r="AL307" s="129"/>
      <c r="AM307" s="129"/>
      <c r="AN307" s="44"/>
      <c r="AO307" s="44"/>
    </row>
    <row r="308" spans="2:41" ht="15.5">
      <c r="B308" s="125"/>
      <c r="C308" s="126"/>
      <c r="D308" s="126"/>
      <c r="E308" s="127"/>
      <c r="F308" s="128"/>
      <c r="G308" s="126"/>
      <c r="H308" s="127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5"/>
      <c r="X308" s="126"/>
      <c r="Y308" s="126"/>
      <c r="Z308" s="126"/>
      <c r="AA308" s="126"/>
      <c r="AB308" s="126"/>
      <c r="AC308" s="126"/>
      <c r="AD308" s="126"/>
      <c r="AE308" s="127"/>
      <c r="AF308" s="126"/>
      <c r="AG308" s="126"/>
      <c r="AH308" s="127"/>
      <c r="AI308" s="126"/>
      <c r="AJ308" s="127"/>
      <c r="AK308" s="127"/>
      <c r="AL308" s="129"/>
      <c r="AM308" s="129"/>
      <c r="AN308" s="44"/>
      <c r="AO308" s="44"/>
    </row>
    <row r="309" spans="2:41" ht="15.5">
      <c r="B309" s="125"/>
      <c r="C309" s="126"/>
      <c r="D309" s="126"/>
      <c r="E309" s="127"/>
      <c r="F309" s="128"/>
      <c r="G309" s="126"/>
      <c r="H309" s="127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5"/>
      <c r="X309" s="126"/>
      <c r="Y309" s="126"/>
      <c r="Z309" s="126"/>
      <c r="AA309" s="126"/>
      <c r="AB309" s="126"/>
      <c r="AC309" s="126"/>
      <c r="AD309" s="126"/>
      <c r="AE309" s="127"/>
      <c r="AF309" s="126"/>
      <c r="AG309" s="126"/>
      <c r="AH309" s="127"/>
      <c r="AI309" s="126"/>
      <c r="AJ309" s="127"/>
      <c r="AK309" s="127"/>
      <c r="AL309" s="129"/>
      <c r="AM309" s="129"/>
      <c r="AN309" s="44"/>
      <c r="AO309" s="44"/>
    </row>
    <row r="310" spans="2:41" ht="15.5">
      <c r="B310" s="125"/>
      <c r="C310" s="126"/>
      <c r="D310" s="126"/>
      <c r="E310" s="127"/>
      <c r="F310" s="128"/>
      <c r="G310" s="126"/>
      <c r="H310" s="127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5"/>
      <c r="X310" s="126"/>
      <c r="Y310" s="126"/>
      <c r="Z310" s="126"/>
      <c r="AA310" s="126"/>
      <c r="AB310" s="126"/>
      <c r="AC310" s="126"/>
      <c r="AD310" s="126"/>
      <c r="AE310" s="127"/>
      <c r="AF310" s="126"/>
      <c r="AG310" s="126"/>
      <c r="AH310" s="127"/>
      <c r="AI310" s="126"/>
      <c r="AJ310" s="127"/>
      <c r="AK310" s="127"/>
      <c r="AL310" s="129"/>
      <c r="AM310" s="129"/>
      <c r="AN310" s="44"/>
      <c r="AO310" s="44"/>
    </row>
    <row r="311" spans="2:41" ht="15.5">
      <c r="B311" s="125"/>
      <c r="C311" s="126"/>
      <c r="D311" s="126"/>
      <c r="E311" s="127"/>
      <c r="F311" s="128"/>
      <c r="G311" s="126"/>
      <c r="H311" s="127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5"/>
      <c r="X311" s="126"/>
      <c r="Y311" s="126"/>
      <c r="Z311" s="126"/>
      <c r="AA311" s="126"/>
      <c r="AB311" s="126"/>
      <c r="AC311" s="126"/>
      <c r="AD311" s="126"/>
      <c r="AE311" s="127"/>
      <c r="AF311" s="126"/>
      <c r="AG311" s="126"/>
      <c r="AH311" s="127"/>
      <c r="AI311" s="126"/>
      <c r="AJ311" s="127"/>
      <c r="AK311" s="127"/>
      <c r="AL311" s="129"/>
      <c r="AM311" s="129"/>
      <c r="AN311" s="44"/>
      <c r="AO311" s="44"/>
    </row>
    <row r="312" spans="2:41" ht="15.5">
      <c r="B312" s="125"/>
      <c r="C312" s="126"/>
      <c r="D312" s="126"/>
      <c r="E312" s="127"/>
      <c r="F312" s="128"/>
      <c r="G312" s="126"/>
      <c r="H312" s="127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5"/>
      <c r="X312" s="126"/>
      <c r="Y312" s="126"/>
      <c r="Z312" s="126"/>
      <c r="AA312" s="126"/>
      <c r="AB312" s="126"/>
      <c r="AC312" s="126"/>
      <c r="AD312" s="126"/>
      <c r="AE312" s="127"/>
      <c r="AF312" s="126"/>
      <c r="AG312" s="126"/>
      <c r="AH312" s="127"/>
      <c r="AI312" s="126"/>
      <c r="AJ312" s="127"/>
      <c r="AK312" s="127"/>
      <c r="AL312" s="129"/>
      <c r="AM312" s="129"/>
      <c r="AN312" s="44"/>
      <c r="AO312" s="44"/>
    </row>
    <row r="313" spans="2:41" ht="15.5">
      <c r="B313" s="125"/>
      <c r="C313" s="126"/>
      <c r="D313" s="126"/>
      <c r="E313" s="127"/>
      <c r="F313" s="128"/>
      <c r="G313" s="126"/>
      <c r="H313" s="127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5"/>
      <c r="X313" s="126"/>
      <c r="Y313" s="126"/>
      <c r="Z313" s="126"/>
      <c r="AA313" s="126"/>
      <c r="AB313" s="126"/>
      <c r="AC313" s="126"/>
      <c r="AD313" s="126"/>
      <c r="AE313" s="127"/>
      <c r="AF313" s="126"/>
      <c r="AG313" s="126"/>
      <c r="AH313" s="127"/>
      <c r="AI313" s="126"/>
      <c r="AJ313" s="127"/>
      <c r="AK313" s="127"/>
      <c r="AL313" s="129"/>
      <c r="AM313" s="129"/>
      <c r="AN313" s="44"/>
      <c r="AO313" s="44"/>
    </row>
    <row r="314" spans="2:41" ht="15.5">
      <c r="B314" s="125"/>
      <c r="C314" s="126"/>
      <c r="D314" s="126"/>
      <c r="E314" s="127"/>
      <c r="F314" s="128"/>
      <c r="G314" s="126"/>
      <c r="H314" s="127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5"/>
      <c r="X314" s="126"/>
      <c r="Y314" s="126"/>
      <c r="Z314" s="126"/>
      <c r="AA314" s="126"/>
      <c r="AB314" s="126"/>
      <c r="AC314" s="126"/>
      <c r="AD314" s="126"/>
      <c r="AE314" s="127"/>
      <c r="AF314" s="126"/>
      <c r="AG314" s="126"/>
      <c r="AH314" s="127"/>
      <c r="AI314" s="126"/>
      <c r="AJ314" s="127"/>
      <c r="AK314" s="127"/>
      <c r="AL314" s="129"/>
      <c r="AM314" s="129"/>
      <c r="AN314" s="44"/>
      <c r="AO314" s="44"/>
    </row>
    <row r="315" spans="2:41" ht="15.5">
      <c r="B315" s="125"/>
      <c r="C315" s="126"/>
      <c r="D315" s="126"/>
      <c r="E315" s="127"/>
      <c r="F315" s="128"/>
      <c r="G315" s="126"/>
      <c r="H315" s="127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5"/>
      <c r="X315" s="126"/>
      <c r="Y315" s="126"/>
      <c r="Z315" s="126"/>
      <c r="AA315" s="126"/>
      <c r="AB315" s="126"/>
      <c r="AC315" s="126"/>
      <c r="AD315" s="126"/>
      <c r="AE315" s="127"/>
      <c r="AF315" s="126"/>
      <c r="AG315" s="126"/>
      <c r="AH315" s="127"/>
      <c r="AI315" s="126"/>
      <c r="AJ315" s="127"/>
      <c r="AK315" s="127"/>
      <c r="AL315" s="129"/>
      <c r="AM315" s="129"/>
      <c r="AN315" s="44"/>
      <c r="AO315" s="44"/>
    </row>
    <row r="316" spans="2:41" ht="15.5">
      <c r="B316" s="125"/>
      <c r="C316" s="126"/>
      <c r="D316" s="126"/>
      <c r="E316" s="127"/>
      <c r="F316" s="128"/>
      <c r="G316" s="126"/>
      <c r="H316" s="127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5"/>
      <c r="X316" s="126"/>
      <c r="Y316" s="126"/>
      <c r="Z316" s="126"/>
      <c r="AA316" s="126"/>
      <c r="AB316" s="126"/>
      <c r="AC316" s="126"/>
      <c r="AD316" s="126"/>
      <c r="AE316" s="127"/>
      <c r="AF316" s="126"/>
      <c r="AG316" s="126"/>
      <c r="AH316" s="127"/>
      <c r="AI316" s="126"/>
      <c r="AJ316" s="127"/>
      <c r="AK316" s="127"/>
      <c r="AL316" s="129"/>
      <c r="AM316" s="129"/>
      <c r="AN316" s="44"/>
      <c r="AO316" s="44"/>
    </row>
    <row r="317" spans="2:41" ht="15.5">
      <c r="B317" s="125"/>
      <c r="C317" s="126"/>
      <c r="D317" s="126"/>
      <c r="E317" s="127"/>
      <c r="F317" s="128"/>
      <c r="G317" s="126"/>
      <c r="H317" s="127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5"/>
      <c r="X317" s="126"/>
      <c r="Y317" s="126"/>
      <c r="Z317" s="126"/>
      <c r="AA317" s="126"/>
      <c r="AB317" s="126"/>
      <c r="AC317" s="126"/>
      <c r="AD317" s="126"/>
      <c r="AE317" s="127"/>
      <c r="AF317" s="126"/>
      <c r="AG317" s="126"/>
      <c r="AH317" s="127"/>
      <c r="AI317" s="126"/>
      <c r="AJ317" s="127"/>
      <c r="AK317" s="127"/>
      <c r="AL317" s="129"/>
      <c r="AM317" s="129"/>
      <c r="AN317" s="44"/>
      <c r="AO317" s="44"/>
    </row>
    <row r="318" spans="2:41" ht="15.5">
      <c r="B318" s="125"/>
      <c r="C318" s="126"/>
      <c r="D318" s="126"/>
      <c r="E318" s="127"/>
      <c r="F318" s="128"/>
      <c r="G318" s="126"/>
      <c r="H318" s="127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5"/>
      <c r="X318" s="126"/>
      <c r="Y318" s="126"/>
      <c r="Z318" s="126"/>
      <c r="AA318" s="126"/>
      <c r="AB318" s="126"/>
      <c r="AC318" s="126"/>
      <c r="AD318" s="126"/>
      <c r="AE318" s="127"/>
      <c r="AF318" s="126"/>
      <c r="AG318" s="126"/>
      <c r="AH318" s="127"/>
      <c r="AI318" s="126"/>
      <c r="AJ318" s="127"/>
      <c r="AK318" s="127"/>
      <c r="AL318" s="129"/>
      <c r="AM318" s="129"/>
      <c r="AN318" s="44"/>
      <c r="AO318" s="44"/>
    </row>
    <row r="319" spans="2:41" ht="15.5">
      <c r="B319" s="125"/>
      <c r="C319" s="126"/>
      <c r="D319" s="126"/>
      <c r="E319" s="127"/>
      <c r="F319" s="128"/>
      <c r="G319" s="126"/>
      <c r="H319" s="127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5"/>
      <c r="X319" s="126"/>
      <c r="Y319" s="126"/>
      <c r="Z319" s="126"/>
      <c r="AA319" s="126"/>
      <c r="AB319" s="126"/>
      <c r="AC319" s="126"/>
      <c r="AD319" s="126"/>
      <c r="AE319" s="127"/>
      <c r="AF319" s="126"/>
      <c r="AG319" s="126"/>
      <c r="AH319" s="127"/>
      <c r="AI319" s="126"/>
      <c r="AJ319" s="127"/>
      <c r="AK319" s="127"/>
      <c r="AL319" s="129"/>
      <c r="AM319" s="129"/>
      <c r="AN319" s="44"/>
      <c r="AO319" s="44"/>
    </row>
    <row r="320" spans="2:41" ht="15.5">
      <c r="B320" s="125"/>
      <c r="C320" s="126"/>
      <c r="D320" s="126"/>
      <c r="E320" s="127"/>
      <c r="F320" s="128"/>
      <c r="G320" s="126"/>
      <c r="H320" s="127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5"/>
      <c r="X320" s="126"/>
      <c r="Y320" s="126"/>
      <c r="Z320" s="126"/>
      <c r="AA320" s="126"/>
      <c r="AB320" s="126"/>
      <c r="AC320" s="126"/>
      <c r="AD320" s="126"/>
      <c r="AE320" s="127"/>
      <c r="AF320" s="126"/>
      <c r="AG320" s="126"/>
      <c r="AH320" s="127"/>
      <c r="AI320" s="126"/>
      <c r="AJ320" s="127"/>
      <c r="AK320" s="127"/>
      <c r="AL320" s="129"/>
      <c r="AM320" s="129"/>
      <c r="AN320" s="44"/>
      <c r="AO320" s="44"/>
    </row>
    <row r="321" spans="2:41" ht="15.5">
      <c r="B321" s="125"/>
      <c r="C321" s="126"/>
      <c r="D321" s="126"/>
      <c r="E321" s="127"/>
      <c r="F321" s="128"/>
      <c r="G321" s="126"/>
      <c r="H321" s="127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5"/>
      <c r="X321" s="126"/>
      <c r="Y321" s="126"/>
      <c r="Z321" s="126"/>
      <c r="AA321" s="126"/>
      <c r="AB321" s="126"/>
      <c r="AC321" s="126"/>
      <c r="AD321" s="126"/>
      <c r="AE321" s="127"/>
      <c r="AF321" s="126"/>
      <c r="AG321" s="126"/>
      <c r="AH321" s="127"/>
      <c r="AI321" s="126"/>
      <c r="AJ321" s="127"/>
      <c r="AK321" s="127"/>
      <c r="AL321" s="129"/>
      <c r="AM321" s="129"/>
      <c r="AN321" s="44"/>
      <c r="AO321" s="44"/>
    </row>
    <row r="322" spans="2:41" ht="15.5">
      <c r="B322" s="125"/>
      <c r="C322" s="126"/>
      <c r="D322" s="126"/>
      <c r="E322" s="127"/>
      <c r="F322" s="128"/>
      <c r="G322" s="126"/>
      <c r="H322" s="127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5"/>
      <c r="X322" s="126"/>
      <c r="Y322" s="126"/>
      <c r="Z322" s="126"/>
      <c r="AA322" s="126"/>
      <c r="AB322" s="126"/>
      <c r="AC322" s="126"/>
      <c r="AD322" s="126"/>
      <c r="AE322" s="127"/>
      <c r="AF322" s="126"/>
      <c r="AG322" s="126"/>
      <c r="AH322" s="127"/>
      <c r="AI322" s="126"/>
      <c r="AJ322" s="127"/>
      <c r="AK322" s="127"/>
      <c r="AL322" s="129"/>
      <c r="AM322" s="129"/>
      <c r="AN322" s="44"/>
      <c r="AO322" s="44"/>
    </row>
    <row r="323" spans="2:41" ht="15.5">
      <c r="B323" s="125"/>
      <c r="C323" s="126"/>
      <c r="D323" s="126"/>
      <c r="E323" s="127"/>
      <c r="F323" s="128"/>
      <c r="G323" s="126"/>
      <c r="H323" s="127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5"/>
      <c r="X323" s="126"/>
      <c r="Y323" s="126"/>
      <c r="Z323" s="126"/>
      <c r="AA323" s="126"/>
      <c r="AB323" s="126"/>
      <c r="AC323" s="126"/>
      <c r="AD323" s="126"/>
      <c r="AE323" s="127"/>
      <c r="AF323" s="126"/>
      <c r="AG323" s="126"/>
      <c r="AH323" s="127"/>
      <c r="AI323" s="126"/>
      <c r="AJ323" s="127"/>
      <c r="AK323" s="127"/>
      <c r="AL323" s="129"/>
      <c r="AM323" s="129"/>
      <c r="AN323" s="44"/>
      <c r="AO323" s="44"/>
    </row>
    <row r="324" spans="2:41" ht="15.5">
      <c r="B324" s="125"/>
      <c r="C324" s="126"/>
      <c r="D324" s="126"/>
      <c r="E324" s="127"/>
      <c r="F324" s="128"/>
      <c r="G324" s="126"/>
      <c r="H324" s="127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5"/>
      <c r="X324" s="126"/>
      <c r="Y324" s="126"/>
      <c r="Z324" s="126"/>
      <c r="AA324" s="126"/>
      <c r="AB324" s="126"/>
      <c r="AC324" s="126"/>
      <c r="AD324" s="126"/>
      <c r="AE324" s="127"/>
      <c r="AF324" s="126"/>
      <c r="AG324" s="126"/>
      <c r="AH324" s="127"/>
      <c r="AI324" s="126"/>
      <c r="AJ324" s="127"/>
      <c r="AK324" s="127"/>
      <c r="AL324" s="129"/>
      <c r="AM324" s="129"/>
      <c r="AN324" s="44"/>
      <c r="AO324" s="44"/>
    </row>
    <row r="325" spans="2:41" ht="15.5">
      <c r="B325" s="125"/>
      <c r="C325" s="126"/>
      <c r="D325" s="126"/>
      <c r="E325" s="127"/>
      <c r="F325" s="128"/>
      <c r="G325" s="126"/>
      <c r="H325" s="127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5"/>
      <c r="X325" s="126"/>
      <c r="Y325" s="126"/>
      <c r="Z325" s="126"/>
      <c r="AA325" s="126"/>
      <c r="AB325" s="126"/>
      <c r="AC325" s="126"/>
      <c r="AD325" s="126"/>
      <c r="AE325" s="127"/>
      <c r="AF325" s="126"/>
      <c r="AG325" s="126"/>
      <c r="AH325" s="127"/>
      <c r="AI325" s="126"/>
      <c r="AJ325" s="127"/>
      <c r="AK325" s="127"/>
      <c r="AL325" s="129"/>
      <c r="AM325" s="129"/>
      <c r="AN325" s="44"/>
      <c r="AO325" s="44"/>
    </row>
    <row r="326" spans="2:41" ht="15.5">
      <c r="B326" s="125"/>
      <c r="C326" s="126"/>
      <c r="D326" s="126"/>
      <c r="E326" s="127"/>
      <c r="F326" s="128"/>
      <c r="G326" s="126"/>
      <c r="H326" s="127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5"/>
      <c r="X326" s="126"/>
      <c r="Y326" s="126"/>
      <c r="Z326" s="126"/>
      <c r="AA326" s="126"/>
      <c r="AB326" s="126"/>
      <c r="AC326" s="126"/>
      <c r="AD326" s="126"/>
      <c r="AE326" s="127"/>
      <c r="AF326" s="126"/>
      <c r="AG326" s="126"/>
      <c r="AH326" s="127"/>
      <c r="AI326" s="126"/>
      <c r="AJ326" s="127"/>
      <c r="AK326" s="127"/>
      <c r="AL326" s="129"/>
      <c r="AM326" s="129"/>
      <c r="AN326" s="44"/>
      <c r="AO326" s="44"/>
    </row>
    <row r="327" spans="2:41" ht="15.5">
      <c r="B327" s="125"/>
      <c r="C327" s="126"/>
      <c r="D327" s="126"/>
      <c r="E327" s="127"/>
      <c r="F327" s="128"/>
      <c r="G327" s="126"/>
      <c r="H327" s="127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5"/>
      <c r="X327" s="126"/>
      <c r="Y327" s="126"/>
      <c r="Z327" s="126"/>
      <c r="AA327" s="126"/>
      <c r="AB327" s="126"/>
      <c r="AC327" s="126"/>
      <c r="AD327" s="126"/>
      <c r="AE327" s="127"/>
      <c r="AF327" s="126"/>
      <c r="AG327" s="126"/>
      <c r="AH327" s="127"/>
      <c r="AI327" s="126"/>
      <c r="AJ327" s="127"/>
      <c r="AK327" s="127"/>
      <c r="AL327" s="129"/>
      <c r="AM327" s="129"/>
      <c r="AN327" s="44"/>
      <c r="AO327" s="44"/>
    </row>
    <row r="328" spans="2:41" ht="15.5">
      <c r="B328" s="125"/>
      <c r="C328" s="126"/>
      <c r="D328" s="126"/>
      <c r="E328" s="127"/>
      <c r="F328" s="128"/>
      <c r="G328" s="126"/>
      <c r="H328" s="127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5"/>
      <c r="X328" s="126"/>
      <c r="Y328" s="126"/>
      <c r="Z328" s="126"/>
      <c r="AA328" s="126"/>
      <c r="AB328" s="126"/>
      <c r="AC328" s="126"/>
      <c r="AD328" s="126"/>
      <c r="AE328" s="127"/>
      <c r="AF328" s="126"/>
      <c r="AG328" s="126"/>
      <c r="AH328" s="127"/>
      <c r="AI328" s="126"/>
      <c r="AJ328" s="127"/>
      <c r="AK328" s="127"/>
      <c r="AL328" s="129"/>
      <c r="AM328" s="129"/>
      <c r="AN328" s="44"/>
      <c r="AO328" s="44"/>
    </row>
    <row r="329" spans="2:41" ht="15.5">
      <c r="B329" s="125"/>
      <c r="C329" s="126"/>
      <c r="D329" s="126"/>
      <c r="E329" s="127"/>
      <c r="F329" s="128"/>
      <c r="G329" s="126"/>
      <c r="H329" s="127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5"/>
      <c r="X329" s="126"/>
      <c r="Y329" s="126"/>
      <c r="Z329" s="126"/>
      <c r="AA329" s="126"/>
      <c r="AB329" s="126"/>
      <c r="AC329" s="126"/>
      <c r="AD329" s="126"/>
      <c r="AE329" s="127"/>
      <c r="AF329" s="126"/>
      <c r="AG329" s="126"/>
      <c r="AH329" s="127"/>
      <c r="AI329" s="126"/>
      <c r="AJ329" s="127"/>
      <c r="AK329" s="127"/>
      <c r="AL329" s="129"/>
      <c r="AM329" s="129"/>
      <c r="AN329" s="44"/>
      <c r="AO329" s="44"/>
    </row>
    <row r="330" spans="2:41" ht="15.5">
      <c r="B330" s="125"/>
      <c r="C330" s="126"/>
      <c r="D330" s="126"/>
      <c r="E330" s="127"/>
      <c r="F330" s="128"/>
      <c r="G330" s="126"/>
      <c r="H330" s="127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5"/>
      <c r="X330" s="126"/>
      <c r="Y330" s="126"/>
      <c r="Z330" s="126"/>
      <c r="AA330" s="126"/>
      <c r="AB330" s="126"/>
      <c r="AC330" s="126"/>
      <c r="AD330" s="126"/>
      <c r="AE330" s="127"/>
      <c r="AF330" s="126"/>
      <c r="AG330" s="126"/>
      <c r="AH330" s="127"/>
      <c r="AI330" s="126"/>
      <c r="AJ330" s="127"/>
      <c r="AK330" s="127"/>
      <c r="AL330" s="129"/>
      <c r="AM330" s="129"/>
      <c r="AN330" s="44"/>
      <c r="AO330" s="44"/>
    </row>
    <row r="331" spans="2:41" ht="15.5">
      <c r="B331" s="125"/>
      <c r="C331" s="126"/>
      <c r="D331" s="126"/>
      <c r="E331" s="127"/>
      <c r="F331" s="128"/>
      <c r="G331" s="126"/>
      <c r="H331" s="127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5"/>
      <c r="X331" s="126"/>
      <c r="Y331" s="126"/>
      <c r="Z331" s="126"/>
      <c r="AA331" s="126"/>
      <c r="AB331" s="126"/>
      <c r="AC331" s="126"/>
      <c r="AD331" s="126"/>
      <c r="AE331" s="127"/>
      <c r="AF331" s="126"/>
      <c r="AG331" s="126"/>
      <c r="AH331" s="127"/>
      <c r="AI331" s="126"/>
      <c r="AJ331" s="127"/>
      <c r="AK331" s="127"/>
      <c r="AL331" s="129"/>
      <c r="AM331" s="129"/>
      <c r="AN331" s="44"/>
      <c r="AO331" s="44"/>
    </row>
    <row r="332" spans="2:41" ht="15.5">
      <c r="B332" s="125"/>
      <c r="C332" s="126"/>
      <c r="D332" s="126"/>
      <c r="E332" s="127"/>
      <c r="F332" s="128"/>
      <c r="G332" s="126"/>
      <c r="H332" s="127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5"/>
      <c r="X332" s="126"/>
      <c r="Y332" s="126"/>
      <c r="Z332" s="126"/>
      <c r="AA332" s="126"/>
      <c r="AB332" s="126"/>
      <c r="AC332" s="126"/>
      <c r="AD332" s="126"/>
      <c r="AE332" s="127"/>
      <c r="AF332" s="126"/>
      <c r="AG332" s="126"/>
      <c r="AH332" s="127"/>
      <c r="AI332" s="126"/>
      <c r="AJ332" s="127"/>
      <c r="AK332" s="127"/>
      <c r="AL332" s="129"/>
      <c r="AM332" s="129"/>
      <c r="AN332" s="44"/>
      <c r="AO332" s="44"/>
    </row>
    <row r="333" spans="2:41" ht="15.5">
      <c r="B333" s="125"/>
      <c r="C333" s="126"/>
      <c r="D333" s="126"/>
      <c r="E333" s="127"/>
      <c r="F333" s="128"/>
      <c r="G333" s="126"/>
      <c r="H333" s="127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5"/>
      <c r="X333" s="126"/>
      <c r="Y333" s="126"/>
      <c r="Z333" s="126"/>
      <c r="AA333" s="126"/>
      <c r="AB333" s="126"/>
      <c r="AC333" s="126"/>
      <c r="AD333" s="126"/>
      <c r="AE333" s="127"/>
      <c r="AF333" s="126"/>
      <c r="AG333" s="126"/>
      <c r="AH333" s="127"/>
      <c r="AI333" s="126"/>
      <c r="AJ333" s="127"/>
      <c r="AK333" s="127"/>
      <c r="AL333" s="129"/>
      <c r="AM333" s="129"/>
      <c r="AN333" s="44"/>
      <c r="AO333" s="44"/>
    </row>
    <row r="334" spans="2:41" ht="15.5">
      <c r="B334" s="125"/>
      <c r="C334" s="126"/>
      <c r="D334" s="126"/>
      <c r="E334" s="127"/>
      <c r="F334" s="128"/>
      <c r="G334" s="126"/>
      <c r="H334" s="127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5"/>
      <c r="X334" s="126"/>
      <c r="Y334" s="126"/>
      <c r="Z334" s="126"/>
      <c r="AA334" s="126"/>
      <c r="AB334" s="126"/>
      <c r="AC334" s="126"/>
      <c r="AD334" s="126"/>
      <c r="AE334" s="127"/>
      <c r="AF334" s="126"/>
      <c r="AG334" s="126"/>
      <c r="AH334" s="127"/>
      <c r="AI334" s="126"/>
      <c r="AJ334" s="127"/>
      <c r="AK334" s="127"/>
      <c r="AL334" s="129"/>
      <c r="AM334" s="129"/>
      <c r="AN334" s="44"/>
      <c r="AO334" s="44"/>
    </row>
    <row r="335" spans="2:41" ht="15.5">
      <c r="B335" s="125"/>
      <c r="C335" s="126"/>
      <c r="D335" s="126"/>
      <c r="E335" s="127"/>
      <c r="F335" s="128"/>
      <c r="G335" s="126"/>
      <c r="H335" s="127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5"/>
      <c r="X335" s="126"/>
      <c r="Y335" s="126"/>
      <c r="Z335" s="126"/>
      <c r="AA335" s="126"/>
      <c r="AB335" s="126"/>
      <c r="AC335" s="126"/>
      <c r="AD335" s="126"/>
      <c r="AE335" s="127"/>
      <c r="AF335" s="126"/>
      <c r="AG335" s="126"/>
      <c r="AH335" s="127"/>
      <c r="AI335" s="126"/>
      <c r="AJ335" s="127"/>
      <c r="AK335" s="127"/>
      <c r="AL335" s="129"/>
      <c r="AM335" s="129"/>
      <c r="AN335" s="44"/>
      <c r="AO335" s="44"/>
    </row>
    <row r="336" spans="2:41" ht="15.5">
      <c r="B336" s="125"/>
      <c r="C336" s="126"/>
      <c r="D336" s="126"/>
      <c r="E336" s="127"/>
      <c r="F336" s="128"/>
      <c r="G336" s="126"/>
      <c r="H336" s="127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5"/>
      <c r="X336" s="126"/>
      <c r="Y336" s="126"/>
      <c r="Z336" s="126"/>
      <c r="AA336" s="126"/>
      <c r="AB336" s="126"/>
      <c r="AC336" s="126"/>
      <c r="AD336" s="126"/>
      <c r="AE336" s="127"/>
      <c r="AF336" s="126"/>
      <c r="AG336" s="126"/>
      <c r="AH336" s="127"/>
      <c r="AI336" s="126"/>
      <c r="AJ336" s="127"/>
      <c r="AK336" s="127"/>
      <c r="AL336" s="129"/>
      <c r="AM336" s="129"/>
      <c r="AN336" s="44"/>
      <c r="AO336" s="44"/>
    </row>
    <row r="337" spans="2:41" ht="15.5">
      <c r="B337" s="125"/>
      <c r="C337" s="126"/>
      <c r="D337" s="126"/>
      <c r="E337" s="127"/>
      <c r="F337" s="128"/>
      <c r="G337" s="126"/>
      <c r="H337" s="127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5"/>
      <c r="X337" s="126"/>
      <c r="Y337" s="126"/>
      <c r="Z337" s="126"/>
      <c r="AA337" s="126"/>
      <c r="AB337" s="126"/>
      <c r="AC337" s="126"/>
      <c r="AD337" s="126"/>
      <c r="AE337" s="127"/>
      <c r="AF337" s="126"/>
      <c r="AG337" s="126"/>
      <c r="AH337" s="127"/>
      <c r="AI337" s="126"/>
      <c r="AJ337" s="127"/>
      <c r="AK337" s="127"/>
      <c r="AL337" s="129"/>
      <c r="AM337" s="129"/>
      <c r="AN337" s="44"/>
      <c r="AO337" s="44"/>
    </row>
    <row r="338" spans="2:41" ht="15.5">
      <c r="B338" s="125"/>
      <c r="C338" s="126"/>
      <c r="D338" s="126"/>
      <c r="E338" s="127"/>
      <c r="F338" s="128"/>
      <c r="G338" s="126"/>
      <c r="H338" s="127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5"/>
      <c r="X338" s="126"/>
      <c r="Y338" s="126"/>
      <c r="Z338" s="126"/>
      <c r="AA338" s="126"/>
      <c r="AB338" s="126"/>
      <c r="AC338" s="126"/>
      <c r="AD338" s="126"/>
      <c r="AE338" s="127"/>
      <c r="AF338" s="126"/>
      <c r="AG338" s="126"/>
      <c r="AH338" s="127"/>
      <c r="AI338" s="126"/>
      <c r="AJ338" s="127"/>
      <c r="AK338" s="127"/>
      <c r="AL338" s="129"/>
      <c r="AM338" s="129"/>
      <c r="AN338" s="44"/>
      <c r="AO338" s="44"/>
    </row>
    <row r="339" spans="2:41" ht="15.5">
      <c r="B339" s="125"/>
      <c r="C339" s="126"/>
      <c r="D339" s="126"/>
      <c r="E339" s="127"/>
      <c r="F339" s="128"/>
      <c r="G339" s="126"/>
      <c r="H339" s="127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5"/>
      <c r="X339" s="126"/>
      <c r="Y339" s="126"/>
      <c r="Z339" s="126"/>
      <c r="AA339" s="126"/>
      <c r="AB339" s="126"/>
      <c r="AC339" s="126"/>
      <c r="AD339" s="126"/>
      <c r="AE339" s="127"/>
      <c r="AF339" s="126"/>
      <c r="AG339" s="126"/>
      <c r="AH339" s="127"/>
      <c r="AI339" s="126"/>
      <c r="AJ339" s="127"/>
      <c r="AK339" s="127"/>
      <c r="AL339" s="129"/>
      <c r="AM339" s="129"/>
      <c r="AN339" s="44"/>
      <c r="AO339" s="44"/>
    </row>
    <row r="340" spans="2:41" ht="15.5">
      <c r="B340" s="125"/>
      <c r="C340" s="126"/>
      <c r="D340" s="126"/>
      <c r="E340" s="127"/>
      <c r="F340" s="128"/>
      <c r="G340" s="126"/>
      <c r="H340" s="127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5"/>
      <c r="X340" s="126"/>
      <c r="Y340" s="126"/>
      <c r="Z340" s="126"/>
      <c r="AA340" s="126"/>
      <c r="AB340" s="126"/>
      <c r="AC340" s="126"/>
      <c r="AD340" s="126"/>
      <c r="AE340" s="127"/>
      <c r="AF340" s="126"/>
      <c r="AG340" s="126"/>
      <c r="AH340" s="127"/>
      <c r="AI340" s="126"/>
      <c r="AJ340" s="127"/>
      <c r="AK340" s="127"/>
      <c r="AL340" s="129"/>
      <c r="AM340" s="129"/>
      <c r="AN340" s="44"/>
      <c r="AO340" s="44"/>
    </row>
    <row r="341" spans="2:41" ht="15.5">
      <c r="B341" s="125"/>
      <c r="C341" s="126"/>
      <c r="D341" s="126"/>
      <c r="E341" s="127"/>
      <c r="F341" s="128"/>
      <c r="G341" s="126"/>
      <c r="H341" s="127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5"/>
      <c r="X341" s="126"/>
      <c r="Y341" s="126"/>
      <c r="Z341" s="126"/>
      <c r="AA341" s="126"/>
      <c r="AB341" s="126"/>
      <c r="AC341" s="126"/>
      <c r="AD341" s="126"/>
      <c r="AE341" s="127"/>
      <c r="AF341" s="126"/>
      <c r="AG341" s="126"/>
      <c r="AH341" s="127"/>
      <c r="AI341" s="126"/>
      <c r="AJ341" s="127"/>
      <c r="AK341" s="127"/>
      <c r="AL341" s="129"/>
      <c r="AM341" s="129"/>
      <c r="AN341" s="44"/>
      <c r="AO341" s="44"/>
    </row>
    <row r="342" spans="2:41" ht="15.5">
      <c r="B342" s="125"/>
      <c r="C342" s="126"/>
      <c r="D342" s="126"/>
      <c r="E342" s="127"/>
      <c r="F342" s="128"/>
      <c r="G342" s="126"/>
      <c r="H342" s="127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5"/>
      <c r="X342" s="126"/>
      <c r="Y342" s="126"/>
      <c r="Z342" s="126"/>
      <c r="AA342" s="126"/>
      <c r="AB342" s="126"/>
      <c r="AC342" s="126"/>
      <c r="AD342" s="126"/>
      <c r="AE342" s="127"/>
      <c r="AF342" s="126"/>
      <c r="AG342" s="126"/>
      <c r="AH342" s="127"/>
      <c r="AI342" s="126"/>
      <c r="AJ342" s="127"/>
      <c r="AK342" s="127"/>
      <c r="AL342" s="129"/>
      <c r="AM342" s="129"/>
      <c r="AN342" s="44"/>
      <c r="AO342" s="44"/>
    </row>
    <row r="343" spans="2:41" ht="15.5">
      <c r="B343" s="125"/>
      <c r="C343" s="126"/>
      <c r="D343" s="126"/>
      <c r="E343" s="127"/>
      <c r="F343" s="128"/>
      <c r="G343" s="126"/>
      <c r="H343" s="127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5"/>
      <c r="X343" s="126"/>
      <c r="Y343" s="126"/>
      <c r="Z343" s="126"/>
      <c r="AA343" s="126"/>
      <c r="AB343" s="126"/>
      <c r="AC343" s="126"/>
      <c r="AD343" s="126"/>
      <c r="AE343" s="127"/>
      <c r="AF343" s="126"/>
      <c r="AG343" s="126"/>
      <c r="AH343" s="127"/>
      <c r="AI343" s="126"/>
      <c r="AJ343" s="127"/>
      <c r="AK343" s="127"/>
      <c r="AL343" s="129"/>
      <c r="AM343" s="129"/>
      <c r="AN343" s="44"/>
      <c r="AO343" s="44"/>
    </row>
    <row r="344" spans="2:41" ht="15.5">
      <c r="B344" s="125"/>
      <c r="C344" s="126"/>
      <c r="D344" s="126"/>
      <c r="E344" s="127"/>
      <c r="F344" s="128"/>
      <c r="G344" s="126"/>
      <c r="H344" s="127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5"/>
      <c r="X344" s="126"/>
      <c r="Y344" s="126"/>
      <c r="Z344" s="126"/>
      <c r="AA344" s="126"/>
      <c r="AB344" s="126"/>
      <c r="AC344" s="126"/>
      <c r="AD344" s="126"/>
      <c r="AE344" s="127"/>
      <c r="AF344" s="126"/>
      <c r="AG344" s="126"/>
      <c r="AH344" s="127"/>
      <c r="AI344" s="126"/>
      <c r="AJ344" s="127"/>
      <c r="AK344" s="127"/>
      <c r="AL344" s="129"/>
      <c r="AM344" s="129"/>
      <c r="AN344" s="44"/>
      <c r="AO344" s="44"/>
    </row>
    <row r="345" spans="2:41" ht="15.5">
      <c r="B345" s="125"/>
      <c r="C345" s="126"/>
      <c r="D345" s="126"/>
      <c r="E345" s="127"/>
      <c r="F345" s="128"/>
      <c r="G345" s="126"/>
      <c r="H345" s="127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5"/>
      <c r="X345" s="126"/>
      <c r="Y345" s="126"/>
      <c r="Z345" s="126"/>
      <c r="AA345" s="126"/>
      <c r="AB345" s="126"/>
      <c r="AC345" s="126"/>
      <c r="AD345" s="126"/>
      <c r="AE345" s="127"/>
      <c r="AF345" s="126"/>
      <c r="AG345" s="126"/>
      <c r="AH345" s="127"/>
      <c r="AI345" s="126"/>
      <c r="AJ345" s="127"/>
      <c r="AK345" s="127"/>
      <c r="AL345" s="129"/>
      <c r="AM345" s="129"/>
      <c r="AN345" s="44"/>
      <c r="AO345" s="44"/>
    </row>
    <row r="346" spans="2:41" ht="15.5">
      <c r="B346" s="125"/>
      <c r="C346" s="126"/>
      <c r="D346" s="126"/>
      <c r="E346" s="127"/>
      <c r="F346" s="128"/>
      <c r="G346" s="126"/>
      <c r="H346" s="127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5"/>
      <c r="X346" s="126"/>
      <c r="Y346" s="126"/>
      <c r="Z346" s="126"/>
      <c r="AA346" s="126"/>
      <c r="AB346" s="126"/>
      <c r="AC346" s="126"/>
      <c r="AD346" s="126"/>
      <c r="AE346" s="127"/>
      <c r="AF346" s="126"/>
      <c r="AG346" s="126"/>
      <c r="AH346" s="127"/>
      <c r="AI346" s="126"/>
      <c r="AJ346" s="127"/>
      <c r="AK346" s="127"/>
      <c r="AL346" s="129"/>
      <c r="AM346" s="129"/>
      <c r="AN346" s="44"/>
      <c r="AO346" s="44"/>
    </row>
    <row r="347" spans="2:41" ht="15.5">
      <c r="B347" s="125"/>
      <c r="C347" s="126"/>
      <c r="D347" s="126"/>
      <c r="E347" s="127"/>
      <c r="F347" s="128"/>
      <c r="G347" s="126"/>
      <c r="H347" s="127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5"/>
      <c r="X347" s="126"/>
      <c r="Y347" s="126"/>
      <c r="Z347" s="126"/>
      <c r="AA347" s="126"/>
      <c r="AB347" s="126"/>
      <c r="AC347" s="126"/>
      <c r="AD347" s="126"/>
      <c r="AE347" s="127"/>
      <c r="AF347" s="126"/>
      <c r="AG347" s="126"/>
      <c r="AH347" s="127"/>
      <c r="AI347" s="126"/>
      <c r="AJ347" s="127"/>
      <c r="AK347" s="127"/>
      <c r="AL347" s="129"/>
      <c r="AM347" s="129"/>
      <c r="AN347" s="44"/>
      <c r="AO347" s="44"/>
    </row>
    <row r="348" spans="2:41" ht="15.5">
      <c r="B348" s="125"/>
      <c r="C348" s="126"/>
      <c r="D348" s="126"/>
      <c r="E348" s="127"/>
      <c r="F348" s="128"/>
      <c r="G348" s="126"/>
      <c r="H348" s="127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5"/>
      <c r="X348" s="126"/>
      <c r="Y348" s="126"/>
      <c r="Z348" s="126"/>
      <c r="AA348" s="126"/>
      <c r="AB348" s="126"/>
      <c r="AC348" s="126"/>
      <c r="AD348" s="126"/>
      <c r="AE348" s="127"/>
      <c r="AF348" s="126"/>
      <c r="AG348" s="126"/>
      <c r="AH348" s="127"/>
      <c r="AI348" s="126"/>
      <c r="AJ348" s="127"/>
      <c r="AK348" s="127"/>
      <c r="AL348" s="129"/>
      <c r="AM348" s="129"/>
      <c r="AN348" s="44"/>
      <c r="AO348" s="44"/>
    </row>
    <row r="349" spans="2:41" ht="15.5">
      <c r="B349" s="125"/>
      <c r="C349" s="126"/>
      <c r="D349" s="126"/>
      <c r="E349" s="127"/>
      <c r="F349" s="128"/>
      <c r="G349" s="126"/>
      <c r="H349" s="127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5"/>
      <c r="X349" s="126"/>
      <c r="Y349" s="126"/>
      <c r="Z349" s="126"/>
      <c r="AA349" s="126"/>
      <c r="AB349" s="126"/>
      <c r="AC349" s="126"/>
      <c r="AD349" s="126"/>
      <c r="AE349" s="127"/>
      <c r="AF349" s="126"/>
      <c r="AG349" s="126"/>
      <c r="AH349" s="127"/>
      <c r="AI349" s="126"/>
      <c r="AJ349" s="127"/>
      <c r="AK349" s="127"/>
      <c r="AL349" s="129"/>
      <c r="AM349" s="129"/>
      <c r="AN349" s="44"/>
      <c r="AO349" s="44"/>
    </row>
    <row r="350" spans="2:41" ht="15.5">
      <c r="B350" s="125"/>
      <c r="C350" s="126"/>
      <c r="D350" s="126"/>
      <c r="E350" s="127"/>
      <c r="F350" s="128"/>
      <c r="G350" s="126"/>
      <c r="H350" s="127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5"/>
      <c r="X350" s="126"/>
      <c r="Y350" s="126"/>
      <c r="Z350" s="126"/>
      <c r="AA350" s="126"/>
      <c r="AB350" s="126"/>
      <c r="AC350" s="126"/>
      <c r="AD350" s="126"/>
      <c r="AE350" s="127"/>
      <c r="AF350" s="126"/>
      <c r="AG350" s="126"/>
      <c r="AH350" s="127"/>
      <c r="AI350" s="126"/>
      <c r="AJ350" s="127"/>
      <c r="AK350" s="127"/>
      <c r="AL350" s="129"/>
      <c r="AM350" s="129"/>
      <c r="AN350" s="44"/>
      <c r="AO350" s="44"/>
    </row>
    <row r="351" spans="2:41" ht="15.5">
      <c r="B351" s="125"/>
      <c r="C351" s="126"/>
      <c r="D351" s="126"/>
      <c r="E351" s="127"/>
      <c r="F351" s="128"/>
      <c r="G351" s="126"/>
      <c r="H351" s="127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5"/>
      <c r="X351" s="126"/>
      <c r="Y351" s="126"/>
      <c r="Z351" s="126"/>
      <c r="AA351" s="126"/>
      <c r="AB351" s="126"/>
      <c r="AC351" s="126"/>
      <c r="AD351" s="126"/>
      <c r="AE351" s="127"/>
      <c r="AF351" s="126"/>
      <c r="AG351" s="126"/>
      <c r="AH351" s="127"/>
      <c r="AI351" s="126"/>
      <c r="AJ351" s="127"/>
      <c r="AK351" s="127"/>
      <c r="AL351" s="129"/>
      <c r="AM351" s="129"/>
      <c r="AN351" s="44"/>
      <c r="AO351" s="44"/>
    </row>
    <row r="352" spans="2:41" ht="15.5">
      <c r="B352" s="125"/>
      <c r="C352" s="126"/>
      <c r="D352" s="126"/>
      <c r="E352" s="127"/>
      <c r="F352" s="128"/>
      <c r="G352" s="126"/>
      <c r="H352" s="127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5"/>
      <c r="X352" s="126"/>
      <c r="Y352" s="126"/>
      <c r="Z352" s="126"/>
      <c r="AA352" s="126"/>
      <c r="AB352" s="126"/>
      <c r="AC352" s="126"/>
      <c r="AD352" s="126"/>
      <c r="AE352" s="127"/>
      <c r="AF352" s="126"/>
      <c r="AG352" s="126"/>
      <c r="AH352" s="127"/>
      <c r="AI352" s="126"/>
      <c r="AJ352" s="127"/>
      <c r="AK352" s="127"/>
      <c r="AL352" s="129"/>
      <c r="AM352" s="129"/>
      <c r="AN352" s="44"/>
      <c r="AO352" s="44"/>
    </row>
    <row r="353" spans="2:41" ht="15.5">
      <c r="B353" s="125"/>
      <c r="C353" s="126"/>
      <c r="D353" s="126"/>
      <c r="E353" s="127"/>
      <c r="F353" s="128"/>
      <c r="G353" s="126"/>
      <c r="H353" s="127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5"/>
      <c r="X353" s="126"/>
      <c r="Y353" s="126"/>
      <c r="Z353" s="126"/>
      <c r="AA353" s="126"/>
      <c r="AB353" s="126"/>
      <c r="AC353" s="126"/>
      <c r="AD353" s="126"/>
      <c r="AE353" s="127"/>
      <c r="AF353" s="126"/>
      <c r="AG353" s="126"/>
      <c r="AH353" s="127"/>
      <c r="AI353" s="126"/>
      <c r="AJ353" s="127"/>
      <c r="AK353" s="127"/>
      <c r="AL353" s="129"/>
      <c r="AM353" s="129"/>
      <c r="AN353" s="44"/>
      <c r="AO353" s="44"/>
    </row>
    <row r="354" spans="2:41" ht="15.5">
      <c r="B354" s="125"/>
      <c r="C354" s="126"/>
      <c r="D354" s="126"/>
      <c r="E354" s="127"/>
      <c r="F354" s="128"/>
      <c r="G354" s="126"/>
      <c r="H354" s="127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5"/>
      <c r="X354" s="126"/>
      <c r="Y354" s="126"/>
      <c r="Z354" s="126"/>
      <c r="AA354" s="126"/>
      <c r="AB354" s="126"/>
      <c r="AC354" s="126"/>
      <c r="AD354" s="126"/>
      <c r="AE354" s="127"/>
      <c r="AF354" s="126"/>
      <c r="AG354" s="126"/>
      <c r="AH354" s="127"/>
      <c r="AI354" s="126"/>
      <c r="AJ354" s="127"/>
      <c r="AK354" s="127"/>
      <c r="AL354" s="129"/>
      <c r="AM354" s="129"/>
      <c r="AN354" s="44"/>
      <c r="AO354" s="44"/>
    </row>
    <row r="355" spans="2:41" ht="15.5">
      <c r="B355" s="125"/>
      <c r="C355" s="126"/>
      <c r="D355" s="126"/>
      <c r="E355" s="127"/>
      <c r="F355" s="128"/>
      <c r="G355" s="126"/>
      <c r="H355" s="127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5"/>
      <c r="X355" s="126"/>
      <c r="Y355" s="126"/>
      <c r="Z355" s="126"/>
      <c r="AA355" s="126"/>
      <c r="AB355" s="126"/>
      <c r="AC355" s="126"/>
      <c r="AD355" s="126"/>
      <c r="AE355" s="127"/>
      <c r="AF355" s="126"/>
      <c r="AG355" s="126"/>
      <c r="AH355" s="127"/>
      <c r="AI355" s="126"/>
      <c r="AJ355" s="127"/>
      <c r="AK355" s="127"/>
      <c r="AL355" s="129"/>
      <c r="AM355" s="129"/>
      <c r="AN355" s="44"/>
      <c r="AO355" s="44"/>
    </row>
    <row r="356" spans="2:41" ht="15.5">
      <c r="B356" s="125"/>
      <c r="C356" s="126"/>
      <c r="D356" s="126"/>
      <c r="E356" s="127"/>
      <c r="F356" s="128"/>
      <c r="G356" s="126"/>
      <c r="H356" s="127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5"/>
      <c r="X356" s="126"/>
      <c r="Y356" s="126"/>
      <c r="Z356" s="126"/>
      <c r="AA356" s="126"/>
      <c r="AB356" s="126"/>
      <c r="AC356" s="126"/>
      <c r="AD356" s="126"/>
      <c r="AE356" s="127"/>
      <c r="AF356" s="126"/>
      <c r="AG356" s="126"/>
      <c r="AH356" s="127"/>
      <c r="AI356" s="126"/>
      <c r="AJ356" s="127"/>
      <c r="AK356" s="127"/>
      <c r="AL356" s="129"/>
      <c r="AM356" s="129"/>
      <c r="AN356" s="44"/>
      <c r="AO356" s="44"/>
    </row>
    <row r="357" spans="2:41" ht="15.5">
      <c r="B357" s="125"/>
      <c r="C357" s="126"/>
      <c r="D357" s="126"/>
      <c r="E357" s="127"/>
      <c r="F357" s="128"/>
      <c r="G357" s="126"/>
      <c r="H357" s="127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5"/>
      <c r="X357" s="126"/>
      <c r="Y357" s="126"/>
      <c r="Z357" s="126"/>
      <c r="AA357" s="126"/>
      <c r="AB357" s="126"/>
      <c r="AC357" s="126"/>
      <c r="AD357" s="126"/>
      <c r="AE357" s="127"/>
      <c r="AF357" s="126"/>
      <c r="AG357" s="126"/>
      <c r="AH357" s="127"/>
      <c r="AI357" s="126"/>
      <c r="AJ357" s="127"/>
      <c r="AK357" s="127"/>
      <c r="AL357" s="129"/>
      <c r="AM357" s="129"/>
      <c r="AN357" s="44"/>
      <c r="AO357" s="44"/>
    </row>
    <row r="358" spans="2:41" ht="15.5">
      <c r="B358" s="125"/>
      <c r="C358" s="126"/>
      <c r="D358" s="126"/>
      <c r="E358" s="127"/>
      <c r="F358" s="128"/>
      <c r="G358" s="126"/>
      <c r="H358" s="127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5"/>
      <c r="X358" s="126"/>
      <c r="Y358" s="126"/>
      <c r="Z358" s="126"/>
      <c r="AA358" s="126"/>
      <c r="AB358" s="126"/>
      <c r="AC358" s="126"/>
      <c r="AD358" s="126"/>
      <c r="AE358" s="127"/>
      <c r="AF358" s="126"/>
      <c r="AG358" s="126"/>
      <c r="AH358" s="127"/>
      <c r="AI358" s="126"/>
      <c r="AJ358" s="127"/>
      <c r="AK358" s="127"/>
      <c r="AL358" s="129"/>
      <c r="AM358" s="129"/>
      <c r="AN358" s="44"/>
      <c r="AO358" s="44"/>
    </row>
    <row r="359" spans="2:41" ht="15.5">
      <c r="B359" s="125"/>
      <c r="C359" s="126"/>
      <c r="D359" s="126"/>
      <c r="E359" s="127"/>
      <c r="F359" s="128"/>
      <c r="G359" s="126"/>
      <c r="H359" s="127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5"/>
      <c r="X359" s="126"/>
      <c r="Y359" s="126"/>
      <c r="Z359" s="126"/>
      <c r="AA359" s="126"/>
      <c r="AB359" s="126"/>
      <c r="AC359" s="126"/>
      <c r="AD359" s="126"/>
      <c r="AE359" s="127"/>
      <c r="AF359" s="126"/>
      <c r="AG359" s="126"/>
      <c r="AH359" s="127"/>
      <c r="AI359" s="126"/>
      <c r="AJ359" s="127"/>
      <c r="AK359" s="127"/>
      <c r="AL359" s="129"/>
      <c r="AM359" s="129"/>
      <c r="AN359" s="44"/>
      <c r="AO359" s="44"/>
    </row>
    <row r="360" spans="2:41" ht="15.5">
      <c r="B360" s="125"/>
      <c r="C360" s="126"/>
      <c r="D360" s="126"/>
      <c r="E360" s="127"/>
      <c r="F360" s="128"/>
      <c r="G360" s="126"/>
      <c r="H360" s="127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5"/>
      <c r="X360" s="126"/>
      <c r="Y360" s="126"/>
      <c r="Z360" s="126"/>
      <c r="AA360" s="126"/>
      <c r="AB360" s="126"/>
      <c r="AC360" s="126"/>
      <c r="AD360" s="126"/>
      <c r="AE360" s="127"/>
      <c r="AF360" s="126"/>
      <c r="AG360" s="126"/>
      <c r="AH360" s="127"/>
      <c r="AI360" s="126"/>
      <c r="AJ360" s="127"/>
      <c r="AK360" s="127"/>
      <c r="AL360" s="129"/>
      <c r="AM360" s="129"/>
      <c r="AN360" s="44"/>
      <c r="AO360" s="44"/>
    </row>
    <row r="361" spans="2:41" ht="15.5">
      <c r="B361" s="125"/>
      <c r="C361" s="126"/>
      <c r="D361" s="126"/>
      <c r="E361" s="127"/>
      <c r="F361" s="128"/>
      <c r="G361" s="126"/>
      <c r="H361" s="127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5"/>
      <c r="X361" s="126"/>
      <c r="Y361" s="126"/>
      <c r="Z361" s="126"/>
      <c r="AA361" s="126"/>
      <c r="AB361" s="126"/>
      <c r="AC361" s="126"/>
      <c r="AD361" s="126"/>
      <c r="AE361" s="127"/>
      <c r="AF361" s="126"/>
      <c r="AG361" s="126"/>
      <c r="AH361" s="127"/>
      <c r="AI361" s="126"/>
      <c r="AJ361" s="127"/>
      <c r="AK361" s="127"/>
      <c r="AL361" s="129"/>
      <c r="AM361" s="129"/>
      <c r="AN361" s="44"/>
      <c r="AO361" s="44"/>
    </row>
    <row r="362" spans="2:41" ht="15.5">
      <c r="B362" s="125"/>
      <c r="C362" s="126"/>
      <c r="D362" s="126"/>
      <c r="E362" s="127"/>
      <c r="F362" s="128"/>
      <c r="G362" s="126"/>
      <c r="H362" s="127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5"/>
      <c r="X362" s="126"/>
      <c r="Y362" s="126"/>
      <c r="Z362" s="126"/>
      <c r="AA362" s="126"/>
      <c r="AB362" s="126"/>
      <c r="AC362" s="126"/>
      <c r="AD362" s="126"/>
      <c r="AE362" s="127"/>
      <c r="AF362" s="126"/>
      <c r="AG362" s="126"/>
      <c r="AH362" s="127"/>
      <c r="AI362" s="126"/>
      <c r="AJ362" s="127"/>
      <c r="AK362" s="127"/>
      <c r="AL362" s="129"/>
      <c r="AM362" s="129"/>
      <c r="AN362" s="44"/>
      <c r="AO362" s="44"/>
    </row>
    <row r="363" spans="2:41" ht="15.5">
      <c r="B363" s="125"/>
      <c r="C363" s="126"/>
      <c r="D363" s="126"/>
      <c r="E363" s="127"/>
      <c r="F363" s="128"/>
      <c r="G363" s="126"/>
      <c r="H363" s="127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5"/>
      <c r="X363" s="126"/>
      <c r="Y363" s="126"/>
      <c r="Z363" s="126"/>
      <c r="AA363" s="126"/>
      <c r="AB363" s="126"/>
      <c r="AC363" s="126"/>
      <c r="AD363" s="126"/>
      <c r="AE363" s="127"/>
      <c r="AF363" s="126"/>
      <c r="AG363" s="126"/>
      <c r="AH363" s="127"/>
      <c r="AI363" s="126"/>
      <c r="AJ363" s="127"/>
      <c r="AK363" s="127"/>
      <c r="AL363" s="129"/>
      <c r="AM363" s="129"/>
      <c r="AN363" s="44"/>
      <c r="AO363" s="44"/>
    </row>
    <row r="364" spans="2:41" ht="15.5">
      <c r="B364" s="125"/>
      <c r="C364" s="126"/>
      <c r="D364" s="126"/>
      <c r="E364" s="127"/>
      <c r="F364" s="128"/>
      <c r="G364" s="126"/>
      <c r="H364" s="127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5"/>
      <c r="X364" s="126"/>
      <c r="Y364" s="126"/>
      <c r="Z364" s="126"/>
      <c r="AA364" s="126"/>
      <c r="AB364" s="126"/>
      <c r="AC364" s="126"/>
      <c r="AD364" s="126"/>
      <c r="AE364" s="127"/>
      <c r="AF364" s="126"/>
      <c r="AG364" s="126"/>
      <c r="AH364" s="127"/>
      <c r="AI364" s="126"/>
      <c r="AJ364" s="127"/>
      <c r="AK364" s="127"/>
      <c r="AL364" s="129"/>
      <c r="AM364" s="129"/>
      <c r="AN364" s="44"/>
      <c r="AO364" s="44"/>
    </row>
    <row r="365" spans="2:41" ht="15.5">
      <c r="B365" s="125"/>
      <c r="C365" s="126"/>
      <c r="D365" s="126"/>
      <c r="E365" s="127"/>
      <c r="F365" s="128"/>
      <c r="G365" s="126"/>
      <c r="H365" s="127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5"/>
      <c r="X365" s="126"/>
      <c r="Y365" s="126"/>
      <c r="Z365" s="126"/>
      <c r="AA365" s="126"/>
      <c r="AB365" s="126"/>
      <c r="AC365" s="126"/>
      <c r="AD365" s="126"/>
      <c r="AE365" s="127"/>
      <c r="AF365" s="126"/>
      <c r="AG365" s="126"/>
      <c r="AH365" s="127"/>
      <c r="AI365" s="126"/>
      <c r="AJ365" s="127"/>
      <c r="AK365" s="127"/>
      <c r="AL365" s="129"/>
      <c r="AM365" s="129"/>
      <c r="AN365" s="44"/>
      <c r="AO365" s="44"/>
    </row>
    <row r="366" spans="2:41" ht="15.5">
      <c r="B366" s="125"/>
      <c r="C366" s="126"/>
      <c r="D366" s="126"/>
      <c r="E366" s="127"/>
      <c r="F366" s="128"/>
      <c r="G366" s="126"/>
      <c r="H366" s="127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5"/>
      <c r="X366" s="126"/>
      <c r="Y366" s="126"/>
      <c r="Z366" s="126"/>
      <c r="AA366" s="126"/>
      <c r="AB366" s="126"/>
      <c r="AC366" s="126"/>
      <c r="AD366" s="126"/>
      <c r="AE366" s="127"/>
      <c r="AF366" s="126"/>
      <c r="AG366" s="126"/>
      <c r="AH366" s="127"/>
      <c r="AI366" s="126"/>
      <c r="AJ366" s="127"/>
      <c r="AK366" s="127"/>
      <c r="AL366" s="129"/>
      <c r="AM366" s="129"/>
      <c r="AN366" s="44"/>
      <c r="AO366" s="44"/>
    </row>
    <row r="367" spans="2:41" ht="15.5">
      <c r="B367" s="125"/>
      <c r="C367" s="126"/>
      <c r="D367" s="126"/>
      <c r="E367" s="127"/>
      <c r="F367" s="128"/>
      <c r="G367" s="126"/>
      <c r="H367" s="127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5"/>
      <c r="X367" s="126"/>
      <c r="Y367" s="126"/>
      <c r="Z367" s="126"/>
      <c r="AA367" s="126"/>
      <c r="AB367" s="126"/>
      <c r="AC367" s="126"/>
      <c r="AD367" s="126"/>
      <c r="AE367" s="127"/>
      <c r="AF367" s="126"/>
      <c r="AG367" s="126"/>
      <c r="AH367" s="127"/>
      <c r="AI367" s="126"/>
      <c r="AJ367" s="127"/>
      <c r="AK367" s="127"/>
      <c r="AL367" s="129"/>
      <c r="AM367" s="129"/>
      <c r="AN367" s="44"/>
      <c r="AO367" s="44"/>
    </row>
    <row r="368" spans="2:41" ht="15.5">
      <c r="B368" s="125"/>
      <c r="C368" s="126"/>
      <c r="D368" s="126"/>
      <c r="E368" s="127"/>
      <c r="F368" s="128"/>
      <c r="G368" s="126"/>
      <c r="H368" s="127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5"/>
      <c r="X368" s="126"/>
      <c r="Y368" s="126"/>
      <c r="Z368" s="126"/>
      <c r="AA368" s="126"/>
      <c r="AB368" s="126"/>
      <c r="AC368" s="126"/>
      <c r="AD368" s="126"/>
      <c r="AE368" s="127"/>
      <c r="AF368" s="126"/>
      <c r="AG368" s="126"/>
      <c r="AH368" s="127"/>
      <c r="AI368" s="126"/>
      <c r="AJ368" s="127"/>
      <c r="AK368" s="127"/>
      <c r="AL368" s="129"/>
      <c r="AM368" s="129"/>
      <c r="AN368" s="44"/>
      <c r="AO368" s="44"/>
    </row>
    <row r="369" spans="2:41" ht="15.5">
      <c r="B369" s="125"/>
      <c r="C369" s="126"/>
      <c r="D369" s="126"/>
      <c r="E369" s="127"/>
      <c r="F369" s="128"/>
      <c r="G369" s="126"/>
      <c r="H369" s="127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5"/>
      <c r="X369" s="126"/>
      <c r="Y369" s="126"/>
      <c r="Z369" s="126"/>
      <c r="AA369" s="126"/>
      <c r="AB369" s="126"/>
      <c r="AC369" s="126"/>
      <c r="AD369" s="126"/>
      <c r="AE369" s="127"/>
      <c r="AF369" s="126"/>
      <c r="AG369" s="126"/>
      <c r="AH369" s="127"/>
      <c r="AI369" s="126"/>
      <c r="AJ369" s="127"/>
      <c r="AK369" s="127"/>
      <c r="AL369" s="129"/>
      <c r="AM369" s="129"/>
      <c r="AN369" s="44"/>
      <c r="AO369" s="44"/>
    </row>
    <row r="370" spans="2:41" ht="15.5">
      <c r="B370" s="125"/>
      <c r="C370" s="126"/>
      <c r="D370" s="126"/>
      <c r="E370" s="127"/>
      <c r="F370" s="128"/>
      <c r="G370" s="126"/>
      <c r="H370" s="127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5"/>
      <c r="X370" s="126"/>
      <c r="Y370" s="126"/>
      <c r="Z370" s="126"/>
      <c r="AA370" s="126"/>
      <c r="AB370" s="126"/>
      <c r="AC370" s="126"/>
      <c r="AD370" s="126"/>
      <c r="AE370" s="127"/>
      <c r="AF370" s="126"/>
      <c r="AG370" s="126"/>
      <c r="AH370" s="127"/>
      <c r="AI370" s="126"/>
      <c r="AJ370" s="127"/>
      <c r="AK370" s="127"/>
      <c r="AL370" s="129"/>
      <c r="AM370" s="129"/>
      <c r="AN370" s="44"/>
      <c r="AO370" s="44"/>
    </row>
    <row r="371" spans="2:41" ht="15.5">
      <c r="B371" s="125"/>
      <c r="C371" s="126"/>
      <c r="D371" s="126"/>
      <c r="E371" s="127"/>
      <c r="F371" s="128"/>
      <c r="G371" s="126"/>
      <c r="H371" s="127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5"/>
      <c r="X371" s="126"/>
      <c r="Y371" s="126"/>
      <c r="Z371" s="126"/>
      <c r="AA371" s="126"/>
      <c r="AB371" s="126"/>
      <c r="AC371" s="126"/>
      <c r="AD371" s="126"/>
      <c r="AE371" s="127"/>
      <c r="AF371" s="126"/>
      <c r="AG371" s="126"/>
      <c r="AH371" s="127"/>
      <c r="AI371" s="126"/>
      <c r="AJ371" s="127"/>
      <c r="AK371" s="127"/>
      <c r="AL371" s="129"/>
      <c r="AM371" s="129"/>
      <c r="AN371" s="44"/>
      <c r="AO371" s="44"/>
    </row>
    <row r="372" spans="2:41" ht="15.5">
      <c r="B372" s="125"/>
      <c r="C372" s="126"/>
      <c r="D372" s="126"/>
      <c r="E372" s="127"/>
      <c r="F372" s="128"/>
      <c r="G372" s="126"/>
      <c r="H372" s="127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5"/>
      <c r="X372" s="126"/>
      <c r="Y372" s="126"/>
      <c r="Z372" s="126"/>
      <c r="AA372" s="126"/>
      <c r="AB372" s="126"/>
      <c r="AC372" s="126"/>
      <c r="AD372" s="126"/>
      <c r="AE372" s="127"/>
      <c r="AF372" s="126"/>
      <c r="AG372" s="126"/>
      <c r="AH372" s="127"/>
      <c r="AI372" s="126"/>
      <c r="AJ372" s="127"/>
      <c r="AK372" s="127"/>
      <c r="AL372" s="129"/>
      <c r="AM372" s="129"/>
      <c r="AN372" s="44"/>
      <c r="AO372" s="44"/>
    </row>
    <row r="373" spans="2:41" ht="15.5">
      <c r="B373" s="125"/>
      <c r="C373" s="126"/>
      <c r="D373" s="126"/>
      <c r="E373" s="127"/>
      <c r="F373" s="128"/>
      <c r="G373" s="126"/>
      <c r="H373" s="127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5"/>
      <c r="X373" s="126"/>
      <c r="Y373" s="126"/>
      <c r="Z373" s="126"/>
      <c r="AA373" s="126"/>
      <c r="AB373" s="126"/>
      <c r="AC373" s="126"/>
      <c r="AD373" s="126"/>
      <c r="AE373" s="127"/>
      <c r="AF373" s="126"/>
      <c r="AG373" s="126"/>
      <c r="AH373" s="127"/>
      <c r="AI373" s="126"/>
      <c r="AJ373" s="127"/>
      <c r="AK373" s="127"/>
      <c r="AL373" s="129"/>
      <c r="AM373" s="129"/>
      <c r="AN373" s="44"/>
      <c r="AO373" s="44"/>
    </row>
    <row r="374" spans="2:41" ht="15.5">
      <c r="B374" s="125"/>
      <c r="C374" s="126"/>
      <c r="D374" s="126"/>
      <c r="E374" s="127"/>
      <c r="F374" s="128"/>
      <c r="G374" s="126"/>
      <c r="H374" s="127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5"/>
      <c r="X374" s="126"/>
      <c r="Y374" s="126"/>
      <c r="Z374" s="126"/>
      <c r="AA374" s="126"/>
      <c r="AB374" s="126"/>
      <c r="AC374" s="126"/>
      <c r="AD374" s="126"/>
      <c r="AE374" s="127"/>
      <c r="AF374" s="126"/>
      <c r="AG374" s="126"/>
      <c r="AH374" s="127"/>
      <c r="AI374" s="126"/>
      <c r="AJ374" s="127"/>
      <c r="AK374" s="127"/>
      <c r="AL374" s="129"/>
      <c r="AM374" s="129"/>
      <c r="AN374" s="44"/>
      <c r="AO374" s="44"/>
    </row>
    <row r="375" spans="2:41" ht="15.5">
      <c r="B375" s="125"/>
      <c r="C375" s="126"/>
      <c r="D375" s="126"/>
      <c r="E375" s="127"/>
      <c r="F375" s="128"/>
      <c r="G375" s="126"/>
      <c r="H375" s="127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5"/>
      <c r="X375" s="126"/>
      <c r="Y375" s="126"/>
      <c r="Z375" s="126"/>
      <c r="AA375" s="126"/>
      <c r="AB375" s="126"/>
      <c r="AC375" s="126"/>
      <c r="AD375" s="126"/>
      <c r="AE375" s="127"/>
      <c r="AF375" s="126"/>
      <c r="AG375" s="126"/>
      <c r="AH375" s="127"/>
      <c r="AI375" s="126"/>
      <c r="AJ375" s="127"/>
      <c r="AK375" s="127"/>
      <c r="AL375" s="129"/>
      <c r="AM375" s="129"/>
      <c r="AN375" s="44"/>
      <c r="AO375" s="44"/>
    </row>
    <row r="376" spans="2:41" ht="15.5">
      <c r="B376" s="125"/>
      <c r="C376" s="126"/>
      <c r="D376" s="126"/>
      <c r="E376" s="127"/>
      <c r="F376" s="128"/>
      <c r="G376" s="126"/>
      <c r="H376" s="127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5"/>
      <c r="X376" s="126"/>
      <c r="Y376" s="126"/>
      <c r="Z376" s="126"/>
      <c r="AA376" s="126"/>
      <c r="AB376" s="126"/>
      <c r="AC376" s="126"/>
      <c r="AD376" s="126"/>
      <c r="AE376" s="127"/>
      <c r="AF376" s="126"/>
      <c r="AG376" s="126"/>
      <c r="AH376" s="127"/>
      <c r="AI376" s="126"/>
      <c r="AJ376" s="127"/>
      <c r="AK376" s="127"/>
      <c r="AL376" s="129"/>
      <c r="AM376" s="129"/>
      <c r="AN376" s="44"/>
      <c r="AO376" s="44"/>
    </row>
    <row r="377" spans="2:41" ht="15.5">
      <c r="B377" s="125"/>
      <c r="C377" s="126"/>
      <c r="D377" s="126"/>
      <c r="E377" s="127"/>
      <c r="F377" s="128"/>
      <c r="G377" s="126"/>
      <c r="H377" s="127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5"/>
      <c r="X377" s="126"/>
      <c r="Y377" s="126"/>
      <c r="Z377" s="126"/>
      <c r="AA377" s="126"/>
      <c r="AB377" s="126"/>
      <c r="AC377" s="126"/>
      <c r="AD377" s="126"/>
      <c r="AE377" s="127"/>
      <c r="AF377" s="126"/>
      <c r="AG377" s="126"/>
      <c r="AH377" s="127"/>
      <c r="AI377" s="126"/>
      <c r="AJ377" s="127"/>
      <c r="AK377" s="127"/>
      <c r="AL377" s="129"/>
      <c r="AM377" s="129"/>
      <c r="AN377" s="44"/>
      <c r="AO377" s="44"/>
    </row>
    <row r="378" spans="2:41" ht="15.5">
      <c r="B378" s="125"/>
      <c r="C378" s="126"/>
      <c r="D378" s="126"/>
      <c r="E378" s="127"/>
      <c r="F378" s="128"/>
      <c r="G378" s="126"/>
      <c r="H378" s="127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5"/>
      <c r="X378" s="126"/>
      <c r="Y378" s="126"/>
      <c r="Z378" s="126"/>
      <c r="AA378" s="126"/>
      <c r="AB378" s="126"/>
      <c r="AC378" s="126"/>
      <c r="AD378" s="126"/>
      <c r="AE378" s="127"/>
      <c r="AF378" s="126"/>
      <c r="AG378" s="126"/>
      <c r="AH378" s="127"/>
      <c r="AI378" s="126"/>
      <c r="AJ378" s="127"/>
      <c r="AK378" s="127"/>
      <c r="AL378" s="129"/>
      <c r="AM378" s="129"/>
      <c r="AN378" s="44"/>
      <c r="AO378" s="44"/>
    </row>
    <row r="379" spans="2:41" ht="15.5">
      <c r="B379" s="125"/>
      <c r="C379" s="126"/>
      <c r="D379" s="126"/>
      <c r="E379" s="127"/>
      <c r="F379" s="128"/>
      <c r="G379" s="126"/>
      <c r="H379" s="127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5"/>
      <c r="X379" s="126"/>
      <c r="Y379" s="126"/>
      <c r="Z379" s="126"/>
      <c r="AA379" s="126"/>
      <c r="AB379" s="126"/>
      <c r="AC379" s="126"/>
      <c r="AD379" s="126"/>
      <c r="AE379" s="127"/>
      <c r="AF379" s="126"/>
      <c r="AG379" s="126"/>
      <c r="AH379" s="127"/>
      <c r="AI379" s="126"/>
      <c r="AJ379" s="127"/>
      <c r="AK379" s="127"/>
      <c r="AL379" s="129"/>
      <c r="AM379" s="129"/>
      <c r="AN379" s="44"/>
      <c r="AO379" s="44"/>
    </row>
    <row r="380" spans="2:41" ht="15.5">
      <c r="B380" s="125"/>
      <c r="C380" s="126"/>
      <c r="D380" s="126"/>
      <c r="E380" s="127"/>
      <c r="F380" s="128"/>
      <c r="G380" s="126"/>
      <c r="H380" s="127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5"/>
      <c r="X380" s="126"/>
      <c r="Y380" s="126"/>
      <c r="Z380" s="126"/>
      <c r="AA380" s="126"/>
      <c r="AB380" s="126"/>
      <c r="AC380" s="126"/>
      <c r="AD380" s="126"/>
      <c r="AE380" s="127"/>
      <c r="AF380" s="126"/>
      <c r="AG380" s="126"/>
      <c r="AH380" s="127"/>
      <c r="AI380" s="126"/>
      <c r="AJ380" s="127"/>
      <c r="AK380" s="127"/>
      <c r="AL380" s="129"/>
      <c r="AM380" s="129"/>
      <c r="AN380" s="44"/>
      <c r="AO380" s="44"/>
    </row>
    <row r="381" spans="2:41" ht="15.5">
      <c r="B381" s="125"/>
      <c r="C381" s="126"/>
      <c r="D381" s="126"/>
      <c r="E381" s="127"/>
      <c r="F381" s="128"/>
      <c r="G381" s="126"/>
      <c r="H381" s="127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5"/>
      <c r="X381" s="126"/>
      <c r="Y381" s="126"/>
      <c r="Z381" s="126"/>
      <c r="AA381" s="126"/>
      <c r="AB381" s="126"/>
      <c r="AC381" s="126"/>
      <c r="AD381" s="126"/>
      <c r="AE381" s="127"/>
      <c r="AF381" s="126"/>
      <c r="AG381" s="126"/>
      <c r="AH381" s="127"/>
      <c r="AI381" s="126"/>
      <c r="AJ381" s="127"/>
      <c r="AK381" s="127"/>
      <c r="AL381" s="129"/>
      <c r="AM381" s="129"/>
      <c r="AN381" s="44"/>
      <c r="AO381" s="44"/>
    </row>
    <row r="382" spans="2:41" ht="15.5">
      <c r="B382" s="125"/>
      <c r="C382" s="126"/>
      <c r="D382" s="126"/>
      <c r="E382" s="127"/>
      <c r="F382" s="128"/>
      <c r="G382" s="126"/>
      <c r="H382" s="127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5"/>
      <c r="X382" s="126"/>
      <c r="Y382" s="126"/>
      <c r="Z382" s="126"/>
      <c r="AA382" s="126"/>
      <c r="AB382" s="126"/>
      <c r="AC382" s="126"/>
      <c r="AD382" s="126"/>
      <c r="AE382" s="127"/>
      <c r="AF382" s="126"/>
      <c r="AG382" s="126"/>
      <c r="AH382" s="127"/>
      <c r="AI382" s="126"/>
      <c r="AJ382" s="127"/>
      <c r="AK382" s="127"/>
      <c r="AL382" s="129"/>
      <c r="AM382" s="129"/>
      <c r="AN382" s="44"/>
      <c r="AO382" s="44"/>
    </row>
    <row r="383" spans="2:41" ht="15.5">
      <c r="B383" s="125"/>
      <c r="C383" s="126"/>
      <c r="D383" s="126"/>
      <c r="E383" s="127"/>
      <c r="F383" s="128"/>
      <c r="G383" s="126"/>
      <c r="H383" s="127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5"/>
      <c r="X383" s="126"/>
      <c r="Y383" s="126"/>
      <c r="Z383" s="126"/>
      <c r="AA383" s="126"/>
      <c r="AB383" s="126"/>
      <c r="AC383" s="126"/>
      <c r="AD383" s="126"/>
      <c r="AE383" s="127"/>
      <c r="AF383" s="126"/>
      <c r="AG383" s="126"/>
      <c r="AH383" s="127"/>
      <c r="AI383" s="126"/>
      <c r="AJ383" s="127"/>
      <c r="AK383" s="127"/>
      <c r="AL383" s="129"/>
      <c r="AM383" s="129"/>
      <c r="AN383" s="44"/>
      <c r="AO383" s="44"/>
    </row>
    <row r="384" spans="2:41" ht="15.5">
      <c r="B384" s="125"/>
      <c r="C384" s="126"/>
      <c r="D384" s="126"/>
      <c r="E384" s="127"/>
      <c r="F384" s="128"/>
      <c r="G384" s="126"/>
      <c r="H384" s="127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5"/>
      <c r="X384" s="126"/>
      <c r="Y384" s="126"/>
      <c r="Z384" s="126"/>
      <c r="AA384" s="126"/>
      <c r="AB384" s="126"/>
      <c r="AC384" s="126"/>
      <c r="AD384" s="126"/>
      <c r="AE384" s="127"/>
      <c r="AF384" s="126"/>
      <c r="AG384" s="126"/>
      <c r="AH384" s="127"/>
      <c r="AI384" s="126"/>
      <c r="AJ384" s="127"/>
      <c r="AK384" s="127"/>
      <c r="AL384" s="129"/>
      <c r="AM384" s="129"/>
      <c r="AN384" s="44"/>
      <c r="AO384" s="44"/>
    </row>
    <row r="385" spans="2:41" ht="15.5">
      <c r="B385" s="125"/>
      <c r="C385" s="126"/>
      <c r="D385" s="126"/>
      <c r="E385" s="127"/>
      <c r="F385" s="128"/>
      <c r="G385" s="126"/>
      <c r="H385" s="127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5"/>
      <c r="X385" s="126"/>
      <c r="Y385" s="126"/>
      <c r="Z385" s="126"/>
      <c r="AA385" s="126"/>
      <c r="AB385" s="126"/>
      <c r="AC385" s="126"/>
      <c r="AD385" s="126"/>
      <c r="AE385" s="127"/>
      <c r="AF385" s="126"/>
      <c r="AG385" s="126"/>
      <c r="AH385" s="127"/>
      <c r="AI385" s="126"/>
      <c r="AJ385" s="127"/>
      <c r="AK385" s="127"/>
      <c r="AL385" s="129"/>
      <c r="AM385" s="129"/>
      <c r="AN385" s="44"/>
      <c r="AO385" s="44"/>
    </row>
    <row r="386" spans="2:41" ht="15.5">
      <c r="B386" s="125"/>
      <c r="C386" s="126"/>
      <c r="D386" s="126"/>
      <c r="E386" s="127"/>
      <c r="F386" s="128"/>
      <c r="G386" s="126"/>
      <c r="H386" s="127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5"/>
      <c r="X386" s="126"/>
      <c r="Y386" s="126"/>
      <c r="Z386" s="126"/>
      <c r="AA386" s="126"/>
      <c r="AB386" s="126"/>
      <c r="AC386" s="126"/>
      <c r="AD386" s="126"/>
      <c r="AE386" s="127"/>
      <c r="AF386" s="126"/>
      <c r="AG386" s="126"/>
      <c r="AH386" s="127"/>
      <c r="AI386" s="126"/>
      <c r="AJ386" s="127"/>
      <c r="AK386" s="127"/>
      <c r="AL386" s="129"/>
      <c r="AM386" s="129"/>
      <c r="AN386" s="44"/>
      <c r="AO386" s="44"/>
    </row>
    <row r="387" spans="2:41" ht="15.5">
      <c r="B387" s="125"/>
      <c r="C387" s="126"/>
      <c r="D387" s="126"/>
      <c r="E387" s="127"/>
      <c r="F387" s="128"/>
      <c r="G387" s="126"/>
      <c r="H387" s="127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5"/>
      <c r="X387" s="126"/>
      <c r="Y387" s="126"/>
      <c r="Z387" s="126"/>
      <c r="AA387" s="126"/>
      <c r="AB387" s="126"/>
      <c r="AC387" s="126"/>
      <c r="AD387" s="126"/>
      <c r="AE387" s="127"/>
      <c r="AF387" s="126"/>
      <c r="AG387" s="126"/>
      <c r="AH387" s="127"/>
      <c r="AI387" s="126"/>
      <c r="AJ387" s="127"/>
      <c r="AK387" s="127"/>
      <c r="AL387" s="129"/>
      <c r="AM387" s="129"/>
      <c r="AN387" s="44"/>
      <c r="AO387" s="44"/>
    </row>
    <row r="388" spans="2:41" ht="15.5">
      <c r="B388" s="125"/>
      <c r="C388" s="126"/>
      <c r="D388" s="126"/>
      <c r="E388" s="127"/>
      <c r="F388" s="128"/>
      <c r="G388" s="126"/>
      <c r="H388" s="127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5"/>
      <c r="X388" s="126"/>
      <c r="Y388" s="126"/>
      <c r="Z388" s="126"/>
      <c r="AA388" s="126"/>
      <c r="AB388" s="126"/>
      <c r="AC388" s="126"/>
      <c r="AD388" s="126"/>
      <c r="AE388" s="127"/>
      <c r="AF388" s="126"/>
      <c r="AG388" s="126"/>
      <c r="AH388" s="127"/>
      <c r="AI388" s="126"/>
      <c r="AJ388" s="127"/>
      <c r="AK388" s="127"/>
      <c r="AL388" s="129"/>
      <c r="AM388" s="129"/>
      <c r="AN388" s="44"/>
      <c r="AO388" s="44"/>
    </row>
    <row r="389" spans="2:41" ht="15.5">
      <c r="B389" s="125"/>
      <c r="C389" s="126"/>
      <c r="D389" s="126"/>
      <c r="E389" s="127"/>
      <c r="F389" s="128"/>
      <c r="G389" s="126"/>
      <c r="H389" s="127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5"/>
      <c r="X389" s="126"/>
      <c r="Y389" s="126"/>
      <c r="Z389" s="126"/>
      <c r="AA389" s="126"/>
      <c r="AB389" s="126"/>
      <c r="AC389" s="126"/>
      <c r="AD389" s="126"/>
      <c r="AE389" s="127"/>
      <c r="AF389" s="126"/>
      <c r="AG389" s="126"/>
      <c r="AH389" s="127"/>
      <c r="AI389" s="126"/>
      <c r="AJ389" s="127"/>
      <c r="AK389" s="127"/>
      <c r="AL389" s="129"/>
      <c r="AM389" s="129"/>
      <c r="AN389" s="44"/>
      <c r="AO389" s="44"/>
    </row>
    <row r="390" spans="2:41" ht="15.5">
      <c r="B390" s="125"/>
      <c r="C390" s="126"/>
      <c r="D390" s="126"/>
      <c r="E390" s="127"/>
      <c r="F390" s="128"/>
      <c r="G390" s="126"/>
      <c r="H390" s="127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5"/>
      <c r="X390" s="126"/>
      <c r="Y390" s="126"/>
      <c r="Z390" s="126"/>
      <c r="AA390" s="126"/>
      <c r="AB390" s="126"/>
      <c r="AC390" s="126"/>
      <c r="AD390" s="126"/>
      <c r="AE390" s="127"/>
      <c r="AF390" s="126"/>
      <c r="AG390" s="126"/>
      <c r="AH390" s="127"/>
      <c r="AI390" s="126"/>
      <c r="AJ390" s="127"/>
      <c r="AK390" s="127"/>
      <c r="AL390" s="129"/>
      <c r="AM390" s="129"/>
      <c r="AN390" s="44"/>
      <c r="AO390" s="44"/>
    </row>
    <row r="391" spans="2:41" ht="15.5">
      <c r="B391" s="125"/>
      <c r="C391" s="126"/>
      <c r="D391" s="126"/>
      <c r="E391" s="127"/>
      <c r="F391" s="128"/>
      <c r="G391" s="126"/>
      <c r="H391" s="127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5"/>
      <c r="X391" s="126"/>
      <c r="Y391" s="126"/>
      <c r="Z391" s="126"/>
      <c r="AA391" s="126"/>
      <c r="AB391" s="126"/>
      <c r="AC391" s="126"/>
      <c r="AD391" s="126"/>
      <c r="AE391" s="127"/>
      <c r="AF391" s="126"/>
      <c r="AG391" s="126"/>
      <c r="AH391" s="127"/>
      <c r="AI391" s="126"/>
      <c r="AJ391" s="127"/>
      <c r="AK391" s="127"/>
      <c r="AL391" s="129"/>
      <c r="AM391" s="129"/>
      <c r="AN391" s="44"/>
      <c r="AO391" s="44"/>
    </row>
    <row r="392" spans="2:41" ht="15.5">
      <c r="B392" s="125"/>
      <c r="C392" s="126"/>
      <c r="D392" s="126"/>
      <c r="E392" s="127"/>
      <c r="F392" s="128"/>
      <c r="G392" s="126"/>
      <c r="H392" s="127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5"/>
      <c r="X392" s="126"/>
      <c r="Y392" s="126"/>
      <c r="Z392" s="126"/>
      <c r="AA392" s="126"/>
      <c r="AB392" s="126"/>
      <c r="AC392" s="126"/>
      <c r="AD392" s="126"/>
      <c r="AE392" s="127"/>
      <c r="AF392" s="126"/>
      <c r="AG392" s="126"/>
      <c r="AH392" s="127"/>
      <c r="AI392" s="126"/>
      <c r="AJ392" s="127"/>
      <c r="AK392" s="127"/>
      <c r="AL392" s="129"/>
      <c r="AM392" s="129"/>
      <c r="AN392" s="44"/>
      <c r="AO392" s="44"/>
    </row>
    <row r="393" spans="2:41" ht="15.5">
      <c r="B393" s="125"/>
      <c r="C393" s="126"/>
      <c r="D393" s="126"/>
      <c r="E393" s="127"/>
      <c r="F393" s="128"/>
      <c r="G393" s="126"/>
      <c r="H393" s="127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5"/>
      <c r="X393" s="126"/>
      <c r="Y393" s="126"/>
      <c r="Z393" s="126"/>
      <c r="AA393" s="126"/>
      <c r="AB393" s="126"/>
      <c r="AC393" s="126"/>
      <c r="AD393" s="126"/>
      <c r="AE393" s="127"/>
      <c r="AF393" s="126"/>
      <c r="AG393" s="126"/>
      <c r="AH393" s="127"/>
      <c r="AI393" s="126"/>
      <c r="AJ393" s="127"/>
      <c r="AK393" s="127"/>
      <c r="AL393" s="129"/>
      <c r="AM393" s="129"/>
      <c r="AN393" s="44"/>
      <c r="AO393" s="44"/>
    </row>
    <row r="394" spans="2:41" ht="15.5">
      <c r="B394" s="125"/>
      <c r="C394" s="126"/>
      <c r="D394" s="126"/>
      <c r="E394" s="127"/>
      <c r="F394" s="128"/>
      <c r="G394" s="126"/>
      <c r="H394" s="127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5"/>
      <c r="X394" s="126"/>
      <c r="Y394" s="126"/>
      <c r="Z394" s="126"/>
      <c r="AA394" s="126"/>
      <c r="AB394" s="126"/>
      <c r="AC394" s="126"/>
      <c r="AD394" s="126"/>
      <c r="AE394" s="127"/>
      <c r="AF394" s="126"/>
      <c r="AG394" s="126"/>
      <c r="AH394" s="127"/>
      <c r="AI394" s="126"/>
      <c r="AJ394" s="127"/>
      <c r="AK394" s="127"/>
      <c r="AL394" s="129"/>
      <c r="AM394" s="129"/>
      <c r="AN394" s="44"/>
      <c r="AO394" s="44"/>
    </row>
    <row r="395" spans="2:41" ht="15.5">
      <c r="B395" s="125"/>
      <c r="C395" s="126"/>
      <c r="D395" s="126"/>
      <c r="E395" s="127"/>
      <c r="F395" s="128"/>
      <c r="G395" s="126"/>
      <c r="H395" s="127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5"/>
      <c r="X395" s="126"/>
      <c r="Y395" s="126"/>
      <c r="Z395" s="126"/>
      <c r="AA395" s="126"/>
      <c r="AB395" s="126"/>
      <c r="AC395" s="126"/>
      <c r="AD395" s="126"/>
      <c r="AE395" s="127"/>
      <c r="AF395" s="126"/>
      <c r="AG395" s="126"/>
      <c r="AH395" s="127"/>
      <c r="AI395" s="126"/>
      <c r="AJ395" s="127"/>
      <c r="AK395" s="127"/>
      <c r="AL395" s="129"/>
      <c r="AM395" s="129"/>
      <c r="AN395" s="44"/>
      <c r="AO395" s="44"/>
    </row>
    <row r="396" spans="2:41" ht="15.5">
      <c r="B396" s="125"/>
      <c r="C396" s="126"/>
      <c r="D396" s="126"/>
      <c r="E396" s="127"/>
      <c r="F396" s="128"/>
      <c r="G396" s="126"/>
      <c r="H396" s="127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5"/>
      <c r="X396" s="126"/>
      <c r="Y396" s="126"/>
      <c r="Z396" s="126"/>
      <c r="AA396" s="126"/>
      <c r="AB396" s="126"/>
      <c r="AC396" s="126"/>
      <c r="AD396" s="126"/>
      <c r="AE396" s="127"/>
      <c r="AF396" s="126"/>
      <c r="AG396" s="126"/>
      <c r="AH396" s="127"/>
      <c r="AI396" s="126"/>
      <c r="AJ396" s="127"/>
      <c r="AK396" s="127"/>
      <c r="AL396" s="129"/>
      <c r="AM396" s="129"/>
      <c r="AN396" s="44"/>
      <c r="AO396" s="44"/>
    </row>
    <row r="397" spans="2:41" ht="15.5">
      <c r="B397" s="125"/>
      <c r="C397" s="126"/>
      <c r="D397" s="126"/>
      <c r="E397" s="127"/>
      <c r="F397" s="128"/>
      <c r="G397" s="126"/>
      <c r="H397" s="127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5"/>
      <c r="X397" s="126"/>
      <c r="Y397" s="126"/>
      <c r="Z397" s="126"/>
      <c r="AA397" s="126"/>
      <c r="AB397" s="126"/>
      <c r="AC397" s="126"/>
      <c r="AD397" s="126"/>
      <c r="AE397" s="127"/>
      <c r="AF397" s="126"/>
      <c r="AG397" s="126"/>
      <c r="AH397" s="127"/>
      <c r="AI397" s="126"/>
      <c r="AJ397" s="127"/>
      <c r="AK397" s="127"/>
      <c r="AL397" s="129"/>
      <c r="AM397" s="129"/>
      <c r="AN397" s="44"/>
      <c r="AO397" s="44"/>
    </row>
    <row r="398" spans="2:41" ht="15.5">
      <c r="B398" s="125"/>
      <c r="C398" s="126"/>
      <c r="D398" s="126"/>
      <c r="E398" s="127"/>
      <c r="F398" s="128"/>
      <c r="G398" s="126"/>
      <c r="H398" s="127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5"/>
      <c r="X398" s="126"/>
      <c r="Y398" s="126"/>
      <c r="Z398" s="126"/>
      <c r="AA398" s="126"/>
      <c r="AB398" s="126"/>
      <c r="AC398" s="126"/>
      <c r="AD398" s="126"/>
      <c r="AE398" s="127"/>
      <c r="AF398" s="126"/>
      <c r="AG398" s="126"/>
      <c r="AH398" s="127"/>
      <c r="AI398" s="126"/>
      <c r="AJ398" s="127"/>
      <c r="AK398" s="127"/>
      <c r="AL398" s="129"/>
      <c r="AM398" s="129"/>
      <c r="AN398" s="44"/>
      <c r="AO398" s="44"/>
    </row>
    <row r="399" spans="2:41" ht="15.5">
      <c r="B399" s="125"/>
      <c r="C399" s="126"/>
      <c r="D399" s="126"/>
      <c r="E399" s="127"/>
      <c r="F399" s="128"/>
      <c r="G399" s="126"/>
      <c r="H399" s="127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5"/>
      <c r="X399" s="126"/>
      <c r="Y399" s="126"/>
      <c r="Z399" s="126"/>
      <c r="AA399" s="126"/>
      <c r="AB399" s="126"/>
      <c r="AC399" s="126"/>
      <c r="AD399" s="126"/>
      <c r="AE399" s="127"/>
      <c r="AF399" s="126"/>
      <c r="AG399" s="126"/>
      <c r="AH399" s="127"/>
      <c r="AI399" s="126"/>
      <c r="AJ399" s="127"/>
      <c r="AK399" s="127"/>
      <c r="AL399" s="129"/>
      <c r="AM399" s="129"/>
      <c r="AN399" s="44"/>
      <c r="AO399" s="44"/>
    </row>
    <row r="400" spans="2:41" ht="15.5">
      <c r="B400" s="125"/>
      <c r="C400" s="126"/>
      <c r="D400" s="126"/>
      <c r="E400" s="127"/>
      <c r="F400" s="128"/>
      <c r="G400" s="126"/>
      <c r="H400" s="127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5"/>
      <c r="X400" s="126"/>
      <c r="Y400" s="126"/>
      <c r="Z400" s="126"/>
      <c r="AA400" s="126"/>
      <c r="AB400" s="126"/>
      <c r="AC400" s="126"/>
      <c r="AD400" s="126"/>
      <c r="AE400" s="127"/>
      <c r="AF400" s="126"/>
      <c r="AG400" s="126"/>
      <c r="AH400" s="127"/>
      <c r="AI400" s="126"/>
      <c r="AJ400" s="127"/>
      <c r="AK400" s="127"/>
      <c r="AL400" s="129"/>
      <c r="AM400" s="129"/>
      <c r="AN400" s="44"/>
      <c r="AO400" s="44"/>
    </row>
    <row r="401" spans="2:41" ht="15.5">
      <c r="B401" s="125"/>
      <c r="C401" s="126"/>
      <c r="D401" s="126"/>
      <c r="E401" s="127"/>
      <c r="F401" s="128"/>
      <c r="G401" s="126"/>
      <c r="H401" s="127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5"/>
      <c r="X401" s="126"/>
      <c r="Y401" s="126"/>
      <c r="Z401" s="126"/>
      <c r="AA401" s="126"/>
      <c r="AB401" s="126"/>
      <c r="AC401" s="126"/>
      <c r="AD401" s="126"/>
      <c r="AE401" s="127"/>
      <c r="AF401" s="126"/>
      <c r="AG401" s="126"/>
      <c r="AH401" s="127"/>
      <c r="AI401" s="126"/>
      <c r="AJ401" s="127"/>
      <c r="AK401" s="127"/>
      <c r="AL401" s="129"/>
      <c r="AM401" s="129"/>
      <c r="AN401" s="44"/>
      <c r="AO401" s="44"/>
    </row>
    <row r="402" spans="2:41" ht="15.5">
      <c r="B402" s="125"/>
      <c r="C402" s="126"/>
      <c r="D402" s="126"/>
      <c r="E402" s="127"/>
      <c r="F402" s="128"/>
      <c r="G402" s="126"/>
      <c r="H402" s="127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5"/>
      <c r="X402" s="126"/>
      <c r="Y402" s="126"/>
      <c r="Z402" s="126"/>
      <c r="AA402" s="126"/>
      <c r="AB402" s="126"/>
      <c r="AC402" s="126"/>
      <c r="AD402" s="126"/>
      <c r="AE402" s="127"/>
      <c r="AF402" s="126"/>
      <c r="AG402" s="126"/>
      <c r="AH402" s="127"/>
      <c r="AI402" s="126"/>
      <c r="AJ402" s="127"/>
      <c r="AK402" s="127"/>
      <c r="AL402" s="129"/>
      <c r="AM402" s="129"/>
      <c r="AN402" s="44"/>
      <c r="AO402" s="44"/>
    </row>
    <row r="403" spans="2:41" ht="15.5">
      <c r="B403" s="125"/>
      <c r="C403" s="126"/>
      <c r="D403" s="126"/>
      <c r="E403" s="127"/>
      <c r="F403" s="128"/>
      <c r="G403" s="126"/>
      <c r="H403" s="127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5"/>
      <c r="X403" s="126"/>
      <c r="Y403" s="126"/>
      <c r="Z403" s="126"/>
      <c r="AA403" s="126"/>
      <c r="AB403" s="126"/>
      <c r="AC403" s="126"/>
      <c r="AD403" s="126"/>
      <c r="AE403" s="127"/>
      <c r="AF403" s="126"/>
      <c r="AG403" s="126"/>
      <c r="AH403" s="127"/>
      <c r="AI403" s="126"/>
      <c r="AJ403" s="127"/>
      <c r="AK403" s="127"/>
      <c r="AL403" s="129"/>
      <c r="AM403" s="129"/>
      <c r="AN403" s="44"/>
      <c r="AO403" s="44"/>
    </row>
    <row r="404" spans="2:41" ht="15.5">
      <c r="B404" s="125"/>
      <c r="C404" s="126"/>
      <c r="D404" s="126"/>
      <c r="E404" s="127"/>
      <c r="F404" s="128"/>
      <c r="G404" s="126"/>
      <c r="H404" s="127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5"/>
      <c r="X404" s="126"/>
      <c r="Y404" s="126"/>
      <c r="Z404" s="126"/>
      <c r="AA404" s="126"/>
      <c r="AB404" s="126"/>
      <c r="AC404" s="126"/>
      <c r="AD404" s="126"/>
      <c r="AE404" s="127"/>
      <c r="AF404" s="126"/>
      <c r="AG404" s="126"/>
      <c r="AH404" s="127"/>
      <c r="AI404" s="126"/>
      <c r="AJ404" s="127"/>
      <c r="AK404" s="127"/>
      <c r="AL404" s="129"/>
      <c r="AM404" s="129"/>
      <c r="AN404" s="44"/>
      <c r="AO404" s="44"/>
    </row>
    <row r="405" spans="2:41" ht="15.5">
      <c r="B405" s="125"/>
      <c r="C405" s="126"/>
      <c r="D405" s="126"/>
      <c r="E405" s="127"/>
      <c r="F405" s="128"/>
      <c r="G405" s="126"/>
      <c r="H405" s="127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5"/>
      <c r="X405" s="126"/>
      <c r="Y405" s="126"/>
      <c r="Z405" s="126"/>
      <c r="AA405" s="126"/>
      <c r="AB405" s="126"/>
      <c r="AC405" s="126"/>
      <c r="AD405" s="126"/>
      <c r="AE405" s="127"/>
      <c r="AF405" s="126"/>
      <c r="AG405" s="126"/>
      <c r="AH405" s="127"/>
      <c r="AI405" s="126"/>
      <c r="AJ405" s="127"/>
      <c r="AK405" s="127"/>
      <c r="AL405" s="129"/>
      <c r="AM405" s="129"/>
      <c r="AN405" s="44"/>
      <c r="AO405" s="44"/>
    </row>
    <row r="406" spans="2:41" ht="15.5">
      <c r="B406" s="125"/>
      <c r="C406" s="126"/>
      <c r="D406" s="126"/>
      <c r="E406" s="127"/>
      <c r="F406" s="128"/>
      <c r="G406" s="126"/>
      <c r="H406" s="127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5"/>
      <c r="X406" s="126"/>
      <c r="Y406" s="126"/>
      <c r="Z406" s="126"/>
      <c r="AA406" s="126"/>
      <c r="AB406" s="126"/>
      <c r="AC406" s="126"/>
      <c r="AD406" s="126"/>
      <c r="AE406" s="127"/>
      <c r="AF406" s="126"/>
      <c r="AG406" s="126"/>
      <c r="AH406" s="127"/>
      <c r="AI406" s="126"/>
      <c r="AJ406" s="127"/>
      <c r="AK406" s="127"/>
      <c r="AL406" s="129"/>
      <c r="AM406" s="129"/>
      <c r="AN406" s="44"/>
      <c r="AO406" s="44"/>
    </row>
    <row r="407" spans="2:41" ht="15.5">
      <c r="B407" s="125"/>
      <c r="C407" s="126"/>
      <c r="D407" s="126"/>
      <c r="E407" s="127"/>
      <c r="F407" s="128"/>
      <c r="G407" s="126"/>
      <c r="H407" s="127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5"/>
      <c r="X407" s="126"/>
      <c r="Y407" s="126"/>
      <c r="Z407" s="126"/>
      <c r="AA407" s="126"/>
      <c r="AB407" s="126"/>
      <c r="AC407" s="126"/>
      <c r="AD407" s="126"/>
      <c r="AE407" s="127"/>
      <c r="AF407" s="126"/>
      <c r="AG407" s="126"/>
      <c r="AH407" s="127"/>
      <c r="AI407" s="126"/>
      <c r="AJ407" s="127"/>
      <c r="AK407" s="127"/>
      <c r="AL407" s="129"/>
      <c r="AM407" s="129"/>
      <c r="AN407" s="44"/>
      <c r="AO407" s="44"/>
    </row>
    <row r="408" spans="2:41" ht="15.5">
      <c r="B408" s="125"/>
      <c r="C408" s="126"/>
      <c r="D408" s="126"/>
      <c r="E408" s="127"/>
      <c r="F408" s="128"/>
      <c r="G408" s="126"/>
      <c r="H408" s="127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5"/>
      <c r="X408" s="126"/>
      <c r="Y408" s="126"/>
      <c r="Z408" s="126"/>
      <c r="AA408" s="126"/>
      <c r="AB408" s="126"/>
      <c r="AC408" s="126"/>
      <c r="AD408" s="126"/>
      <c r="AE408" s="127"/>
      <c r="AF408" s="126"/>
      <c r="AG408" s="126"/>
      <c r="AH408" s="127"/>
      <c r="AI408" s="126"/>
      <c r="AJ408" s="127"/>
      <c r="AK408" s="127"/>
      <c r="AL408" s="129"/>
      <c r="AM408" s="129"/>
      <c r="AN408" s="44"/>
      <c r="AO408" s="44"/>
    </row>
    <row r="409" spans="2:41" ht="15.5">
      <c r="B409" s="125"/>
      <c r="C409" s="126"/>
      <c r="D409" s="126"/>
      <c r="E409" s="127"/>
      <c r="F409" s="128"/>
      <c r="G409" s="126"/>
      <c r="H409" s="127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5"/>
      <c r="X409" s="126"/>
      <c r="Y409" s="126"/>
      <c r="Z409" s="126"/>
      <c r="AA409" s="126"/>
      <c r="AB409" s="126"/>
      <c r="AC409" s="126"/>
      <c r="AD409" s="126"/>
      <c r="AE409" s="127"/>
      <c r="AF409" s="126"/>
      <c r="AG409" s="126"/>
      <c r="AH409" s="127"/>
      <c r="AI409" s="126"/>
      <c r="AJ409" s="127"/>
      <c r="AK409" s="127"/>
      <c r="AL409" s="129"/>
      <c r="AM409" s="129"/>
      <c r="AN409" s="44"/>
      <c r="AO409" s="44"/>
    </row>
    <row r="410" spans="2:41" ht="15.5">
      <c r="B410" s="125"/>
      <c r="C410" s="126"/>
      <c r="D410" s="126"/>
      <c r="E410" s="127"/>
      <c r="F410" s="128"/>
      <c r="G410" s="126"/>
      <c r="H410" s="127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5"/>
      <c r="X410" s="126"/>
      <c r="Y410" s="126"/>
      <c r="Z410" s="126"/>
      <c r="AA410" s="126"/>
      <c r="AB410" s="126"/>
      <c r="AC410" s="126"/>
      <c r="AD410" s="126"/>
      <c r="AE410" s="127"/>
      <c r="AF410" s="126"/>
      <c r="AG410" s="126"/>
      <c r="AH410" s="127"/>
      <c r="AI410" s="126"/>
      <c r="AJ410" s="127"/>
      <c r="AK410" s="127"/>
      <c r="AL410" s="129"/>
      <c r="AM410" s="129"/>
      <c r="AN410" s="44"/>
      <c r="AO410" s="44"/>
    </row>
    <row r="411" spans="2:41" ht="15.5">
      <c r="B411" s="125"/>
      <c r="C411" s="126"/>
      <c r="D411" s="126"/>
      <c r="E411" s="127"/>
      <c r="F411" s="128"/>
      <c r="G411" s="126"/>
      <c r="H411" s="127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5"/>
      <c r="X411" s="126"/>
      <c r="Y411" s="126"/>
      <c r="Z411" s="126"/>
      <c r="AA411" s="126"/>
      <c r="AB411" s="126"/>
      <c r="AC411" s="126"/>
      <c r="AD411" s="126"/>
      <c r="AE411" s="127"/>
      <c r="AF411" s="126"/>
      <c r="AG411" s="126"/>
      <c r="AH411" s="127"/>
      <c r="AI411" s="126"/>
      <c r="AJ411" s="127"/>
      <c r="AK411" s="127"/>
      <c r="AL411" s="129"/>
      <c r="AM411" s="129"/>
      <c r="AN411" s="44"/>
      <c r="AO411" s="44"/>
    </row>
    <row r="412" spans="2:41" ht="15.5">
      <c r="B412" s="125"/>
      <c r="C412" s="126"/>
      <c r="D412" s="126"/>
      <c r="E412" s="127"/>
      <c r="F412" s="128"/>
      <c r="G412" s="126"/>
      <c r="H412" s="127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5"/>
      <c r="X412" s="126"/>
      <c r="Y412" s="126"/>
      <c r="Z412" s="126"/>
      <c r="AA412" s="126"/>
      <c r="AB412" s="126"/>
      <c r="AC412" s="126"/>
      <c r="AD412" s="126"/>
      <c r="AE412" s="127"/>
      <c r="AF412" s="126"/>
      <c r="AG412" s="126"/>
      <c r="AH412" s="127"/>
      <c r="AI412" s="126"/>
      <c r="AJ412" s="127"/>
      <c r="AK412" s="127"/>
      <c r="AL412" s="129"/>
      <c r="AM412" s="129"/>
      <c r="AN412" s="44"/>
      <c r="AO412" s="44"/>
    </row>
    <row r="413" spans="2:41" ht="15.5">
      <c r="B413" s="125"/>
      <c r="C413" s="126"/>
      <c r="D413" s="126"/>
      <c r="E413" s="127"/>
      <c r="F413" s="128"/>
      <c r="G413" s="126"/>
      <c r="H413" s="127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5"/>
      <c r="X413" s="126"/>
      <c r="Y413" s="126"/>
      <c r="Z413" s="126"/>
      <c r="AA413" s="126"/>
      <c r="AB413" s="126"/>
      <c r="AC413" s="126"/>
      <c r="AD413" s="126"/>
      <c r="AE413" s="127"/>
      <c r="AF413" s="126"/>
      <c r="AG413" s="126"/>
      <c r="AH413" s="127"/>
      <c r="AI413" s="126"/>
      <c r="AJ413" s="127"/>
      <c r="AK413" s="127"/>
      <c r="AL413" s="129"/>
      <c r="AM413" s="129"/>
      <c r="AN413" s="44"/>
      <c r="AO413" s="44"/>
    </row>
    <row r="414" spans="2:41" ht="15.5">
      <c r="B414" s="125"/>
      <c r="C414" s="126"/>
      <c r="D414" s="126"/>
      <c r="E414" s="127"/>
      <c r="F414" s="128"/>
      <c r="G414" s="126"/>
      <c r="H414" s="127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5"/>
      <c r="X414" s="126"/>
      <c r="Y414" s="126"/>
      <c r="Z414" s="126"/>
      <c r="AA414" s="126"/>
      <c r="AB414" s="126"/>
      <c r="AC414" s="126"/>
      <c r="AD414" s="126"/>
      <c r="AE414" s="127"/>
      <c r="AF414" s="126"/>
      <c r="AG414" s="126"/>
      <c r="AH414" s="127"/>
      <c r="AI414" s="126"/>
      <c r="AJ414" s="127"/>
      <c r="AK414" s="127"/>
      <c r="AL414" s="129"/>
      <c r="AM414" s="129"/>
      <c r="AN414" s="44"/>
      <c r="AO414" s="44"/>
    </row>
    <row r="415" spans="2:41" ht="15.5">
      <c r="B415" s="125"/>
      <c r="C415" s="126"/>
      <c r="D415" s="126"/>
      <c r="E415" s="127"/>
      <c r="F415" s="128"/>
      <c r="G415" s="126"/>
      <c r="H415" s="127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5"/>
      <c r="X415" s="126"/>
      <c r="Y415" s="126"/>
      <c r="Z415" s="126"/>
      <c r="AA415" s="126"/>
      <c r="AB415" s="126"/>
      <c r="AC415" s="126"/>
      <c r="AD415" s="126"/>
      <c r="AE415" s="127"/>
      <c r="AF415" s="126"/>
      <c r="AG415" s="126"/>
      <c r="AH415" s="127"/>
      <c r="AI415" s="126"/>
      <c r="AJ415" s="127"/>
      <c r="AK415" s="127"/>
      <c r="AL415" s="129"/>
      <c r="AM415" s="129"/>
      <c r="AN415" s="44"/>
      <c r="AO415" s="44"/>
    </row>
    <row r="416" spans="2:41" ht="15.5">
      <c r="B416" s="125"/>
      <c r="C416" s="126"/>
      <c r="D416" s="126"/>
      <c r="E416" s="127"/>
      <c r="F416" s="128"/>
      <c r="G416" s="126"/>
      <c r="H416" s="127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5"/>
      <c r="X416" s="126"/>
      <c r="Y416" s="126"/>
      <c r="Z416" s="126"/>
      <c r="AA416" s="126"/>
      <c r="AB416" s="126"/>
      <c r="AC416" s="126"/>
      <c r="AD416" s="126"/>
      <c r="AE416" s="127"/>
      <c r="AF416" s="126"/>
      <c r="AG416" s="126"/>
      <c r="AH416" s="127"/>
      <c r="AI416" s="126"/>
      <c r="AJ416" s="127"/>
      <c r="AK416" s="127"/>
      <c r="AL416" s="129"/>
      <c r="AM416" s="129"/>
      <c r="AN416" s="44"/>
      <c r="AO416" s="44"/>
    </row>
    <row r="417" spans="2:41" ht="15.5">
      <c r="B417" s="125"/>
      <c r="C417" s="126"/>
      <c r="D417" s="126"/>
      <c r="E417" s="127"/>
      <c r="F417" s="128"/>
      <c r="G417" s="126"/>
      <c r="H417" s="127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5"/>
      <c r="X417" s="126"/>
      <c r="Y417" s="126"/>
      <c r="Z417" s="126"/>
      <c r="AA417" s="126"/>
      <c r="AB417" s="126"/>
      <c r="AC417" s="126"/>
      <c r="AD417" s="126"/>
      <c r="AE417" s="127"/>
      <c r="AF417" s="126"/>
      <c r="AG417" s="126"/>
      <c r="AH417" s="127"/>
      <c r="AI417" s="126"/>
      <c r="AJ417" s="127"/>
      <c r="AK417" s="127"/>
      <c r="AL417" s="129"/>
      <c r="AM417" s="129"/>
      <c r="AN417" s="44"/>
      <c r="AO417" s="44"/>
    </row>
    <row r="418" spans="2:41" ht="15.5">
      <c r="B418" s="125"/>
      <c r="C418" s="126"/>
      <c r="D418" s="126"/>
      <c r="E418" s="127"/>
      <c r="F418" s="128"/>
      <c r="G418" s="126"/>
      <c r="H418" s="127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5"/>
      <c r="X418" s="126"/>
      <c r="Y418" s="126"/>
      <c r="Z418" s="126"/>
      <c r="AA418" s="126"/>
      <c r="AB418" s="126"/>
      <c r="AC418" s="126"/>
      <c r="AD418" s="126"/>
      <c r="AE418" s="127"/>
      <c r="AF418" s="126"/>
      <c r="AG418" s="126"/>
      <c r="AH418" s="127"/>
      <c r="AI418" s="126"/>
      <c r="AJ418" s="127"/>
      <c r="AK418" s="127"/>
      <c r="AL418" s="129"/>
      <c r="AM418" s="129"/>
      <c r="AN418" s="44"/>
      <c r="AO418" s="44"/>
    </row>
    <row r="419" spans="2:41" ht="15.5">
      <c r="B419" s="125"/>
      <c r="C419" s="126"/>
      <c r="D419" s="126"/>
      <c r="E419" s="127"/>
      <c r="F419" s="128"/>
      <c r="G419" s="126"/>
      <c r="H419" s="127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5"/>
      <c r="X419" s="126"/>
      <c r="Y419" s="126"/>
      <c r="Z419" s="126"/>
      <c r="AA419" s="126"/>
      <c r="AB419" s="126"/>
      <c r="AC419" s="126"/>
      <c r="AD419" s="126"/>
      <c r="AE419" s="127"/>
      <c r="AF419" s="126"/>
      <c r="AG419" s="126"/>
      <c r="AH419" s="127"/>
      <c r="AI419" s="126"/>
      <c r="AJ419" s="127"/>
      <c r="AK419" s="127"/>
      <c r="AL419" s="129"/>
      <c r="AM419" s="129"/>
      <c r="AN419" s="44"/>
      <c r="AO419" s="44"/>
    </row>
    <row r="420" spans="2:41" ht="15.5">
      <c r="B420" s="125"/>
      <c r="C420" s="126"/>
      <c r="D420" s="126"/>
      <c r="E420" s="127"/>
      <c r="F420" s="128"/>
      <c r="G420" s="126"/>
      <c r="H420" s="127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5"/>
      <c r="X420" s="126"/>
      <c r="Y420" s="126"/>
      <c r="Z420" s="126"/>
      <c r="AA420" s="126"/>
      <c r="AB420" s="126"/>
      <c r="AC420" s="126"/>
      <c r="AD420" s="126"/>
      <c r="AE420" s="127"/>
      <c r="AF420" s="126"/>
      <c r="AG420" s="126"/>
      <c r="AH420" s="127"/>
      <c r="AI420" s="126"/>
      <c r="AJ420" s="127"/>
      <c r="AK420" s="127"/>
      <c r="AL420" s="129"/>
      <c r="AM420" s="129"/>
      <c r="AN420" s="44"/>
      <c r="AO420" s="44"/>
    </row>
    <row r="421" spans="2:41" ht="15.5">
      <c r="B421" s="125"/>
      <c r="C421" s="126"/>
      <c r="D421" s="126"/>
      <c r="E421" s="127"/>
      <c r="F421" s="128"/>
      <c r="G421" s="126"/>
      <c r="H421" s="127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5"/>
      <c r="X421" s="126"/>
      <c r="Y421" s="126"/>
      <c r="Z421" s="126"/>
      <c r="AA421" s="126"/>
      <c r="AB421" s="126"/>
      <c r="AC421" s="126"/>
      <c r="AD421" s="126"/>
      <c r="AE421" s="127"/>
      <c r="AF421" s="126"/>
      <c r="AG421" s="126"/>
      <c r="AH421" s="127"/>
      <c r="AI421" s="126"/>
      <c r="AJ421" s="127"/>
      <c r="AK421" s="127"/>
      <c r="AL421" s="129"/>
      <c r="AM421" s="129"/>
      <c r="AN421" s="44"/>
      <c r="AO421" s="44"/>
    </row>
    <row r="422" spans="2:41" ht="15.5">
      <c r="B422" s="125"/>
      <c r="C422" s="126"/>
      <c r="D422" s="126"/>
      <c r="E422" s="127"/>
      <c r="F422" s="128"/>
      <c r="G422" s="126"/>
      <c r="H422" s="127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5"/>
      <c r="X422" s="126"/>
      <c r="Y422" s="126"/>
      <c r="Z422" s="126"/>
      <c r="AA422" s="126"/>
      <c r="AB422" s="126"/>
      <c r="AC422" s="126"/>
      <c r="AD422" s="126"/>
      <c r="AE422" s="127"/>
      <c r="AF422" s="126"/>
      <c r="AG422" s="126"/>
      <c r="AH422" s="127"/>
      <c r="AI422" s="126"/>
      <c r="AJ422" s="127"/>
      <c r="AK422" s="127"/>
      <c r="AL422" s="129"/>
      <c r="AM422" s="129"/>
      <c r="AN422" s="44"/>
      <c r="AO422" s="44"/>
    </row>
    <row r="423" spans="2:41" ht="15.5">
      <c r="B423" s="125"/>
      <c r="C423" s="126"/>
      <c r="D423" s="126"/>
      <c r="E423" s="127"/>
      <c r="F423" s="128"/>
      <c r="G423" s="126"/>
      <c r="H423" s="127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5"/>
      <c r="X423" s="126"/>
      <c r="Y423" s="126"/>
      <c r="Z423" s="126"/>
      <c r="AA423" s="126"/>
      <c r="AB423" s="126"/>
      <c r="AC423" s="126"/>
      <c r="AD423" s="126"/>
      <c r="AE423" s="127"/>
      <c r="AF423" s="126"/>
      <c r="AG423" s="126"/>
      <c r="AH423" s="127"/>
      <c r="AI423" s="126"/>
      <c r="AJ423" s="127"/>
      <c r="AK423" s="127"/>
      <c r="AL423" s="129"/>
      <c r="AM423" s="129"/>
      <c r="AN423" s="44"/>
      <c r="AO423" s="44"/>
    </row>
    <row r="424" spans="2:41" ht="15.5">
      <c r="B424" s="125"/>
      <c r="C424" s="126"/>
      <c r="D424" s="126"/>
      <c r="E424" s="127"/>
      <c r="F424" s="128"/>
      <c r="G424" s="126"/>
      <c r="H424" s="127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5"/>
      <c r="X424" s="126"/>
      <c r="Y424" s="126"/>
      <c r="Z424" s="126"/>
      <c r="AA424" s="126"/>
      <c r="AB424" s="126"/>
      <c r="AC424" s="126"/>
      <c r="AD424" s="126"/>
      <c r="AE424" s="127"/>
      <c r="AF424" s="126"/>
      <c r="AG424" s="126"/>
      <c r="AH424" s="127"/>
      <c r="AI424" s="126"/>
      <c r="AJ424" s="127"/>
      <c r="AK424" s="127"/>
      <c r="AL424" s="129"/>
      <c r="AM424" s="129"/>
      <c r="AN424" s="44"/>
      <c r="AO424" s="44"/>
    </row>
    <row r="425" spans="2:41" ht="15.5">
      <c r="B425" s="125"/>
      <c r="C425" s="126"/>
      <c r="D425" s="126"/>
      <c r="E425" s="127"/>
      <c r="F425" s="128"/>
      <c r="G425" s="126"/>
      <c r="H425" s="127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5"/>
      <c r="X425" s="126"/>
      <c r="Y425" s="126"/>
      <c r="Z425" s="126"/>
      <c r="AA425" s="126"/>
      <c r="AB425" s="126"/>
      <c r="AC425" s="126"/>
      <c r="AD425" s="126"/>
      <c r="AE425" s="127"/>
      <c r="AF425" s="126"/>
      <c r="AG425" s="126"/>
      <c r="AH425" s="127"/>
      <c r="AI425" s="126"/>
      <c r="AJ425" s="127"/>
      <c r="AK425" s="127"/>
      <c r="AL425" s="129"/>
      <c r="AM425" s="129"/>
      <c r="AN425" s="44"/>
      <c r="AO425" s="44"/>
    </row>
    <row r="426" spans="2:41" ht="15.5">
      <c r="B426" s="125"/>
      <c r="C426" s="126"/>
      <c r="D426" s="126"/>
      <c r="E426" s="127"/>
      <c r="F426" s="128"/>
      <c r="G426" s="126"/>
      <c r="H426" s="127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5"/>
      <c r="X426" s="126"/>
      <c r="Y426" s="126"/>
      <c r="Z426" s="126"/>
      <c r="AA426" s="126"/>
      <c r="AB426" s="126"/>
      <c r="AC426" s="126"/>
      <c r="AD426" s="126"/>
      <c r="AE426" s="127"/>
      <c r="AF426" s="126"/>
      <c r="AG426" s="126"/>
      <c r="AH426" s="127"/>
      <c r="AI426" s="126"/>
      <c r="AJ426" s="127"/>
      <c r="AK426" s="127"/>
      <c r="AL426" s="129"/>
      <c r="AM426" s="129"/>
      <c r="AN426" s="44"/>
      <c r="AO426" s="44"/>
    </row>
    <row r="427" spans="2:41" ht="15.5">
      <c r="B427" s="125"/>
      <c r="C427" s="126"/>
      <c r="D427" s="126"/>
      <c r="E427" s="127"/>
      <c r="F427" s="128"/>
      <c r="G427" s="126"/>
      <c r="H427" s="127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5"/>
      <c r="X427" s="126"/>
      <c r="Y427" s="126"/>
      <c r="Z427" s="126"/>
      <c r="AA427" s="126"/>
      <c r="AB427" s="126"/>
      <c r="AC427" s="126"/>
      <c r="AD427" s="126"/>
      <c r="AE427" s="127"/>
      <c r="AF427" s="126"/>
      <c r="AG427" s="126"/>
      <c r="AH427" s="127"/>
      <c r="AI427" s="126"/>
      <c r="AJ427" s="127"/>
      <c r="AK427" s="127"/>
      <c r="AL427" s="129"/>
      <c r="AM427" s="129"/>
      <c r="AN427" s="44"/>
      <c r="AO427" s="44"/>
    </row>
    <row r="428" spans="2:41" ht="15.5">
      <c r="B428" s="125"/>
      <c r="C428" s="126"/>
      <c r="D428" s="126"/>
      <c r="E428" s="127"/>
      <c r="F428" s="128"/>
      <c r="G428" s="126"/>
      <c r="H428" s="127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5"/>
      <c r="X428" s="126"/>
      <c r="Y428" s="126"/>
      <c r="Z428" s="126"/>
      <c r="AA428" s="126"/>
      <c r="AB428" s="126"/>
      <c r="AC428" s="126"/>
      <c r="AD428" s="126"/>
      <c r="AE428" s="127"/>
      <c r="AF428" s="126"/>
      <c r="AG428" s="126"/>
      <c r="AH428" s="127"/>
      <c r="AI428" s="126"/>
      <c r="AJ428" s="127"/>
      <c r="AK428" s="127"/>
      <c r="AL428" s="129"/>
      <c r="AM428" s="129"/>
      <c r="AN428" s="44"/>
      <c r="AO428" s="44"/>
    </row>
    <row r="429" spans="2:41" ht="15.5">
      <c r="B429" s="125"/>
      <c r="C429" s="126"/>
      <c r="D429" s="126"/>
      <c r="E429" s="127"/>
      <c r="F429" s="128"/>
      <c r="G429" s="126"/>
      <c r="H429" s="127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5"/>
      <c r="X429" s="126"/>
      <c r="Y429" s="126"/>
      <c r="Z429" s="126"/>
      <c r="AA429" s="126"/>
      <c r="AB429" s="126"/>
      <c r="AC429" s="126"/>
      <c r="AD429" s="126"/>
      <c r="AE429" s="127"/>
      <c r="AF429" s="126"/>
      <c r="AG429" s="126"/>
      <c r="AH429" s="127"/>
      <c r="AI429" s="126"/>
      <c r="AJ429" s="127"/>
      <c r="AK429" s="127"/>
      <c r="AL429" s="129"/>
      <c r="AM429" s="129"/>
      <c r="AN429" s="44"/>
      <c r="AO429" s="44"/>
    </row>
    <row r="430" spans="2:41" ht="15.5">
      <c r="B430" s="125"/>
      <c r="C430" s="126"/>
      <c r="D430" s="126"/>
      <c r="E430" s="127"/>
      <c r="F430" s="128"/>
      <c r="G430" s="126"/>
      <c r="H430" s="127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5"/>
      <c r="X430" s="126"/>
      <c r="Y430" s="126"/>
      <c r="Z430" s="126"/>
      <c r="AA430" s="126"/>
      <c r="AB430" s="126"/>
      <c r="AC430" s="126"/>
      <c r="AD430" s="126"/>
      <c r="AE430" s="127"/>
      <c r="AF430" s="126"/>
      <c r="AG430" s="126"/>
      <c r="AH430" s="127"/>
      <c r="AI430" s="126"/>
      <c r="AJ430" s="127"/>
      <c r="AK430" s="127"/>
      <c r="AL430" s="129"/>
      <c r="AM430" s="129"/>
      <c r="AN430" s="44"/>
      <c r="AO430" s="44"/>
    </row>
    <row r="431" spans="2:41" ht="15.5">
      <c r="B431" s="125"/>
      <c r="C431" s="126"/>
      <c r="D431" s="126"/>
      <c r="E431" s="127"/>
      <c r="F431" s="128"/>
      <c r="G431" s="126"/>
      <c r="H431" s="127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5"/>
      <c r="X431" s="126"/>
      <c r="Y431" s="126"/>
      <c r="Z431" s="126"/>
      <c r="AA431" s="126"/>
      <c r="AB431" s="126"/>
      <c r="AC431" s="126"/>
      <c r="AD431" s="126"/>
      <c r="AE431" s="127"/>
      <c r="AF431" s="126"/>
      <c r="AG431" s="126"/>
      <c r="AH431" s="127"/>
      <c r="AI431" s="126"/>
      <c r="AJ431" s="127"/>
      <c r="AK431" s="127"/>
      <c r="AL431" s="129"/>
      <c r="AM431" s="129"/>
      <c r="AN431" s="44"/>
      <c r="AO431" s="44"/>
    </row>
    <row r="432" spans="2:41" ht="15.5">
      <c r="B432" s="125"/>
      <c r="C432" s="126"/>
      <c r="D432" s="126"/>
      <c r="E432" s="127"/>
      <c r="F432" s="128"/>
      <c r="G432" s="126"/>
      <c r="H432" s="127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5"/>
      <c r="X432" s="126"/>
      <c r="Y432" s="126"/>
      <c r="Z432" s="126"/>
      <c r="AA432" s="126"/>
      <c r="AB432" s="126"/>
      <c r="AC432" s="126"/>
      <c r="AD432" s="126"/>
      <c r="AE432" s="127"/>
      <c r="AF432" s="126"/>
      <c r="AG432" s="126"/>
      <c r="AH432" s="127"/>
      <c r="AI432" s="126"/>
      <c r="AJ432" s="127"/>
      <c r="AK432" s="127"/>
      <c r="AL432" s="129"/>
      <c r="AM432" s="129"/>
      <c r="AN432" s="44"/>
      <c r="AO432" s="44"/>
    </row>
    <row r="433" spans="2:41" ht="15.5">
      <c r="B433" s="125"/>
      <c r="C433" s="126"/>
      <c r="D433" s="126"/>
      <c r="E433" s="127"/>
      <c r="F433" s="128"/>
      <c r="G433" s="126"/>
      <c r="H433" s="127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5"/>
      <c r="X433" s="126"/>
      <c r="Y433" s="126"/>
      <c r="Z433" s="126"/>
      <c r="AA433" s="126"/>
      <c r="AB433" s="126"/>
      <c r="AC433" s="126"/>
      <c r="AD433" s="126"/>
      <c r="AE433" s="127"/>
      <c r="AF433" s="126"/>
      <c r="AG433" s="126"/>
      <c r="AH433" s="127"/>
      <c r="AI433" s="126"/>
      <c r="AJ433" s="127"/>
      <c r="AK433" s="127"/>
      <c r="AL433" s="129"/>
      <c r="AM433" s="129"/>
      <c r="AN433" s="44"/>
      <c r="AO433" s="44"/>
    </row>
    <row r="434" spans="2:41" ht="15.5">
      <c r="B434" s="125"/>
      <c r="C434" s="126"/>
      <c r="D434" s="126"/>
      <c r="E434" s="127"/>
      <c r="F434" s="128"/>
      <c r="G434" s="126"/>
      <c r="H434" s="127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5"/>
      <c r="X434" s="126"/>
      <c r="Y434" s="126"/>
      <c r="Z434" s="126"/>
      <c r="AA434" s="126"/>
      <c r="AB434" s="126"/>
      <c r="AC434" s="126"/>
      <c r="AD434" s="126"/>
      <c r="AE434" s="127"/>
      <c r="AF434" s="126"/>
      <c r="AG434" s="126"/>
      <c r="AH434" s="127"/>
      <c r="AI434" s="126"/>
      <c r="AJ434" s="127"/>
      <c r="AK434" s="127"/>
      <c r="AL434" s="129"/>
      <c r="AM434" s="129"/>
      <c r="AN434" s="44"/>
      <c r="AO434" s="44"/>
    </row>
    <row r="435" spans="2:41" ht="15.5">
      <c r="B435" s="125"/>
      <c r="C435" s="126"/>
      <c r="D435" s="126"/>
      <c r="E435" s="127"/>
      <c r="F435" s="128"/>
      <c r="G435" s="126"/>
      <c r="H435" s="127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5"/>
      <c r="X435" s="126"/>
      <c r="Y435" s="126"/>
      <c r="Z435" s="126"/>
      <c r="AA435" s="126"/>
      <c r="AB435" s="126"/>
      <c r="AC435" s="126"/>
      <c r="AD435" s="126"/>
      <c r="AE435" s="127"/>
      <c r="AF435" s="126"/>
      <c r="AG435" s="126"/>
      <c r="AH435" s="127"/>
      <c r="AI435" s="126"/>
      <c r="AJ435" s="127"/>
      <c r="AK435" s="127"/>
      <c r="AL435" s="129"/>
      <c r="AM435" s="129"/>
      <c r="AN435" s="44"/>
      <c r="AO435" s="44"/>
    </row>
    <row r="436" spans="2:41" ht="15.5">
      <c r="B436" s="125"/>
      <c r="C436" s="126"/>
      <c r="D436" s="126"/>
      <c r="E436" s="127"/>
      <c r="F436" s="128"/>
      <c r="G436" s="126"/>
      <c r="H436" s="127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5"/>
      <c r="X436" s="126"/>
      <c r="Y436" s="126"/>
      <c r="Z436" s="126"/>
      <c r="AA436" s="126"/>
      <c r="AB436" s="126"/>
      <c r="AC436" s="126"/>
      <c r="AD436" s="126"/>
      <c r="AE436" s="127"/>
      <c r="AF436" s="126"/>
      <c r="AG436" s="126"/>
      <c r="AH436" s="127"/>
      <c r="AI436" s="126"/>
      <c r="AJ436" s="127"/>
      <c r="AK436" s="127"/>
      <c r="AL436" s="129"/>
      <c r="AM436" s="129"/>
      <c r="AN436" s="44"/>
      <c r="AO436" s="44"/>
    </row>
    <row r="437" spans="2:41" ht="15.5">
      <c r="B437" s="125"/>
      <c r="C437" s="126"/>
      <c r="D437" s="126"/>
      <c r="E437" s="127"/>
      <c r="F437" s="128"/>
      <c r="G437" s="126"/>
      <c r="H437" s="127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5"/>
      <c r="X437" s="126"/>
      <c r="Y437" s="126"/>
      <c r="Z437" s="126"/>
      <c r="AA437" s="126"/>
      <c r="AB437" s="126"/>
      <c r="AC437" s="126"/>
      <c r="AD437" s="126"/>
      <c r="AE437" s="127"/>
      <c r="AF437" s="126"/>
      <c r="AG437" s="126"/>
      <c r="AH437" s="127"/>
      <c r="AI437" s="126"/>
      <c r="AJ437" s="127"/>
      <c r="AK437" s="127"/>
      <c r="AL437" s="129"/>
      <c r="AM437" s="129"/>
      <c r="AN437" s="44"/>
      <c r="AO437" s="44"/>
    </row>
    <row r="438" spans="2:41" ht="15.5">
      <c r="B438" s="125"/>
      <c r="C438" s="126"/>
      <c r="D438" s="126"/>
      <c r="E438" s="127"/>
      <c r="F438" s="128"/>
      <c r="G438" s="126"/>
      <c r="H438" s="127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5"/>
      <c r="X438" s="126"/>
      <c r="Y438" s="126"/>
      <c r="Z438" s="126"/>
      <c r="AA438" s="126"/>
      <c r="AB438" s="126"/>
      <c r="AC438" s="126"/>
      <c r="AD438" s="126"/>
      <c r="AE438" s="127"/>
      <c r="AF438" s="126"/>
      <c r="AG438" s="126"/>
      <c r="AH438" s="127"/>
      <c r="AI438" s="126"/>
      <c r="AJ438" s="127"/>
      <c r="AK438" s="127"/>
      <c r="AL438" s="129"/>
      <c r="AM438" s="129"/>
      <c r="AN438" s="44"/>
      <c r="AO438" s="44"/>
    </row>
    <row r="439" spans="2:41" ht="15.5">
      <c r="B439" s="125"/>
      <c r="C439" s="126"/>
      <c r="D439" s="126"/>
      <c r="E439" s="127"/>
      <c r="F439" s="128"/>
      <c r="G439" s="126"/>
      <c r="H439" s="127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5"/>
      <c r="X439" s="126"/>
      <c r="Y439" s="126"/>
      <c r="Z439" s="126"/>
      <c r="AA439" s="126"/>
      <c r="AB439" s="126"/>
      <c r="AC439" s="126"/>
      <c r="AD439" s="126"/>
      <c r="AE439" s="127"/>
      <c r="AF439" s="126"/>
      <c r="AG439" s="126"/>
      <c r="AH439" s="127"/>
      <c r="AI439" s="126"/>
      <c r="AJ439" s="127"/>
      <c r="AK439" s="127"/>
      <c r="AL439" s="129"/>
      <c r="AM439" s="129"/>
      <c r="AN439" s="44"/>
      <c r="AO439" s="44"/>
    </row>
    <row r="440" spans="2:41" ht="15.5">
      <c r="B440" s="125"/>
      <c r="C440" s="126"/>
      <c r="D440" s="126"/>
      <c r="E440" s="127"/>
      <c r="F440" s="128"/>
      <c r="G440" s="126"/>
      <c r="H440" s="127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5"/>
      <c r="X440" s="126"/>
      <c r="Y440" s="126"/>
      <c r="Z440" s="126"/>
      <c r="AA440" s="126"/>
      <c r="AB440" s="126"/>
      <c r="AC440" s="126"/>
      <c r="AD440" s="126"/>
      <c r="AE440" s="127"/>
      <c r="AF440" s="126"/>
      <c r="AG440" s="126"/>
      <c r="AH440" s="127"/>
      <c r="AI440" s="126"/>
      <c r="AJ440" s="127"/>
      <c r="AK440" s="127"/>
      <c r="AL440" s="129"/>
      <c r="AM440" s="129"/>
      <c r="AN440" s="44"/>
      <c r="AO440" s="44"/>
    </row>
    <row r="441" spans="2:41" ht="15.5">
      <c r="B441" s="125"/>
      <c r="C441" s="126"/>
      <c r="D441" s="126"/>
      <c r="E441" s="127"/>
      <c r="F441" s="128"/>
      <c r="G441" s="126"/>
      <c r="H441" s="127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5"/>
      <c r="X441" s="126"/>
      <c r="Y441" s="126"/>
      <c r="Z441" s="126"/>
      <c r="AA441" s="126"/>
      <c r="AB441" s="126"/>
      <c r="AC441" s="126"/>
      <c r="AD441" s="126"/>
      <c r="AE441" s="127"/>
      <c r="AF441" s="126"/>
      <c r="AG441" s="126"/>
      <c r="AH441" s="127"/>
      <c r="AI441" s="126"/>
      <c r="AJ441" s="127"/>
      <c r="AK441" s="127"/>
      <c r="AL441" s="129"/>
      <c r="AM441" s="129"/>
      <c r="AN441" s="44"/>
      <c r="AO441" s="44"/>
    </row>
    <row r="442" spans="2:41" ht="15.5">
      <c r="B442" s="125"/>
      <c r="C442" s="126"/>
      <c r="D442" s="126"/>
      <c r="E442" s="127"/>
      <c r="F442" s="128"/>
      <c r="G442" s="126"/>
      <c r="H442" s="127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5"/>
      <c r="X442" s="126"/>
      <c r="Y442" s="126"/>
      <c r="Z442" s="126"/>
      <c r="AA442" s="126"/>
      <c r="AB442" s="126"/>
      <c r="AC442" s="126"/>
      <c r="AD442" s="126"/>
      <c r="AE442" s="127"/>
      <c r="AF442" s="126"/>
      <c r="AG442" s="126"/>
      <c r="AH442" s="127"/>
      <c r="AI442" s="126"/>
      <c r="AJ442" s="127"/>
      <c r="AK442" s="127"/>
      <c r="AL442" s="129"/>
      <c r="AM442" s="129"/>
      <c r="AN442" s="44"/>
      <c r="AO442" s="44"/>
    </row>
    <row r="443" spans="2:41" ht="15.5">
      <c r="B443" s="125"/>
      <c r="C443" s="126"/>
      <c r="D443" s="126"/>
      <c r="E443" s="127"/>
      <c r="F443" s="128"/>
      <c r="G443" s="126"/>
      <c r="H443" s="127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5"/>
      <c r="X443" s="126"/>
      <c r="Y443" s="126"/>
      <c r="Z443" s="126"/>
      <c r="AA443" s="126"/>
      <c r="AB443" s="126"/>
      <c r="AC443" s="126"/>
      <c r="AD443" s="126"/>
      <c r="AE443" s="127"/>
      <c r="AF443" s="126"/>
      <c r="AG443" s="126"/>
      <c r="AH443" s="127"/>
      <c r="AI443" s="126"/>
      <c r="AJ443" s="127"/>
      <c r="AK443" s="127"/>
      <c r="AL443" s="129"/>
      <c r="AM443" s="129"/>
      <c r="AN443" s="44"/>
      <c r="AO443" s="44"/>
    </row>
    <row r="444" spans="2:41" ht="15.5">
      <c r="B444" s="125"/>
      <c r="C444" s="126"/>
      <c r="D444" s="126"/>
      <c r="E444" s="127"/>
      <c r="F444" s="128"/>
      <c r="G444" s="126"/>
      <c r="H444" s="127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5"/>
      <c r="X444" s="126"/>
      <c r="Y444" s="126"/>
      <c r="Z444" s="126"/>
      <c r="AA444" s="126"/>
      <c r="AB444" s="126"/>
      <c r="AC444" s="126"/>
      <c r="AD444" s="126"/>
      <c r="AE444" s="127"/>
      <c r="AF444" s="126"/>
      <c r="AG444" s="126"/>
      <c r="AH444" s="127"/>
      <c r="AI444" s="126"/>
      <c r="AJ444" s="127"/>
      <c r="AK444" s="127"/>
      <c r="AL444" s="129"/>
      <c r="AM444" s="129"/>
      <c r="AN444" s="44"/>
      <c r="AO444" s="44"/>
    </row>
    <row r="445" spans="2:41" ht="15.5">
      <c r="B445" s="125"/>
      <c r="C445" s="126"/>
      <c r="D445" s="126"/>
      <c r="E445" s="127"/>
      <c r="F445" s="128"/>
      <c r="G445" s="126"/>
      <c r="H445" s="127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5"/>
      <c r="X445" s="126"/>
      <c r="Y445" s="126"/>
      <c r="Z445" s="126"/>
      <c r="AA445" s="126"/>
      <c r="AB445" s="126"/>
      <c r="AC445" s="126"/>
      <c r="AD445" s="126"/>
      <c r="AE445" s="127"/>
      <c r="AF445" s="126"/>
      <c r="AG445" s="126"/>
      <c r="AH445" s="127"/>
      <c r="AI445" s="126"/>
      <c r="AJ445" s="127"/>
      <c r="AK445" s="127"/>
      <c r="AL445" s="129"/>
      <c r="AM445" s="129"/>
      <c r="AN445" s="44"/>
      <c r="AO445" s="44"/>
    </row>
    <row r="446" spans="2:41" ht="15.5">
      <c r="B446" s="125"/>
      <c r="C446" s="126"/>
      <c r="D446" s="126"/>
      <c r="E446" s="127"/>
      <c r="F446" s="128"/>
      <c r="G446" s="126"/>
      <c r="H446" s="127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5"/>
      <c r="X446" s="126"/>
      <c r="Y446" s="126"/>
      <c r="Z446" s="126"/>
      <c r="AA446" s="126"/>
      <c r="AB446" s="126"/>
      <c r="AC446" s="126"/>
      <c r="AD446" s="126"/>
      <c r="AE446" s="127"/>
      <c r="AF446" s="126"/>
      <c r="AG446" s="126"/>
      <c r="AH446" s="127"/>
      <c r="AI446" s="126"/>
      <c r="AJ446" s="127"/>
      <c r="AK446" s="127"/>
      <c r="AL446" s="129"/>
      <c r="AM446" s="129"/>
      <c r="AN446" s="44"/>
      <c r="AO446" s="44"/>
    </row>
    <row r="447" spans="2:41" ht="15.5">
      <c r="B447" s="125"/>
      <c r="C447" s="126"/>
      <c r="D447" s="126"/>
      <c r="E447" s="127"/>
      <c r="F447" s="128"/>
      <c r="G447" s="126"/>
      <c r="H447" s="127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5"/>
      <c r="X447" s="126"/>
      <c r="Y447" s="126"/>
      <c r="Z447" s="126"/>
      <c r="AA447" s="126"/>
      <c r="AB447" s="126"/>
      <c r="AC447" s="126"/>
      <c r="AD447" s="126"/>
      <c r="AE447" s="127"/>
      <c r="AF447" s="126"/>
      <c r="AG447" s="126"/>
      <c r="AH447" s="127"/>
      <c r="AI447" s="126"/>
      <c r="AJ447" s="127"/>
      <c r="AK447" s="127"/>
      <c r="AL447" s="129"/>
      <c r="AM447" s="129"/>
      <c r="AN447" s="44"/>
      <c r="AO447" s="44"/>
    </row>
    <row r="448" spans="2:41" ht="15.5">
      <c r="B448" s="125"/>
      <c r="C448" s="126"/>
      <c r="D448" s="126"/>
      <c r="E448" s="127"/>
      <c r="F448" s="128"/>
      <c r="G448" s="126"/>
      <c r="H448" s="127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5"/>
      <c r="X448" s="126"/>
      <c r="Y448" s="126"/>
      <c r="Z448" s="126"/>
      <c r="AA448" s="126"/>
      <c r="AB448" s="126"/>
      <c r="AC448" s="126"/>
      <c r="AD448" s="126"/>
      <c r="AE448" s="127"/>
      <c r="AF448" s="126"/>
      <c r="AG448" s="126"/>
      <c r="AH448" s="127"/>
      <c r="AI448" s="126"/>
      <c r="AJ448" s="127"/>
      <c r="AK448" s="127"/>
      <c r="AL448" s="129"/>
      <c r="AM448" s="129"/>
      <c r="AN448" s="44"/>
      <c r="AO448" s="44"/>
    </row>
    <row r="449" spans="2:41" ht="15.5">
      <c r="B449" s="125"/>
      <c r="C449" s="126"/>
      <c r="D449" s="126"/>
      <c r="E449" s="127"/>
      <c r="F449" s="128"/>
      <c r="G449" s="126"/>
      <c r="H449" s="127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5"/>
      <c r="X449" s="126"/>
      <c r="Y449" s="126"/>
      <c r="Z449" s="126"/>
      <c r="AA449" s="126"/>
      <c r="AB449" s="126"/>
      <c r="AC449" s="126"/>
      <c r="AD449" s="126"/>
      <c r="AE449" s="127"/>
      <c r="AF449" s="126"/>
      <c r="AG449" s="126"/>
      <c r="AH449" s="127"/>
      <c r="AI449" s="126"/>
      <c r="AJ449" s="127"/>
      <c r="AK449" s="127"/>
      <c r="AL449" s="129"/>
      <c r="AM449" s="129"/>
      <c r="AN449" s="44"/>
      <c r="AO449" s="44"/>
    </row>
    <row r="450" spans="2:41" ht="15.5">
      <c r="B450" s="125"/>
      <c r="C450" s="126"/>
      <c r="D450" s="126"/>
      <c r="E450" s="127"/>
      <c r="F450" s="128"/>
      <c r="G450" s="126"/>
      <c r="H450" s="127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5"/>
      <c r="X450" s="126"/>
      <c r="Y450" s="126"/>
      <c r="Z450" s="126"/>
      <c r="AA450" s="126"/>
      <c r="AB450" s="126"/>
      <c r="AC450" s="126"/>
      <c r="AD450" s="126"/>
      <c r="AE450" s="127"/>
      <c r="AF450" s="126"/>
      <c r="AG450" s="126"/>
      <c r="AH450" s="127"/>
      <c r="AI450" s="126"/>
      <c r="AJ450" s="127"/>
      <c r="AK450" s="127"/>
      <c r="AL450" s="129"/>
      <c r="AM450" s="129"/>
      <c r="AN450" s="44"/>
      <c r="AO450" s="44"/>
    </row>
    <row r="451" spans="2:41" ht="15.5">
      <c r="B451" s="125"/>
      <c r="C451" s="126"/>
      <c r="D451" s="126"/>
      <c r="E451" s="127"/>
      <c r="F451" s="128"/>
      <c r="G451" s="126"/>
      <c r="H451" s="127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5"/>
      <c r="X451" s="126"/>
      <c r="Y451" s="126"/>
      <c r="Z451" s="126"/>
      <c r="AA451" s="126"/>
      <c r="AB451" s="126"/>
      <c r="AC451" s="126"/>
      <c r="AD451" s="126"/>
      <c r="AE451" s="127"/>
      <c r="AF451" s="126"/>
      <c r="AG451" s="126"/>
      <c r="AH451" s="127"/>
      <c r="AI451" s="126"/>
      <c r="AJ451" s="127"/>
      <c r="AK451" s="127"/>
      <c r="AL451" s="129"/>
      <c r="AM451" s="129"/>
      <c r="AN451" s="44"/>
      <c r="AO451" s="44"/>
    </row>
    <row r="452" spans="2:41" ht="15.5">
      <c r="B452" s="125"/>
      <c r="C452" s="126"/>
      <c r="D452" s="126"/>
      <c r="E452" s="127"/>
      <c r="F452" s="128"/>
      <c r="G452" s="126"/>
      <c r="H452" s="127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5"/>
      <c r="X452" s="126"/>
      <c r="Y452" s="126"/>
      <c r="Z452" s="126"/>
      <c r="AA452" s="126"/>
      <c r="AB452" s="126"/>
      <c r="AC452" s="126"/>
      <c r="AD452" s="126"/>
      <c r="AE452" s="127"/>
      <c r="AF452" s="126"/>
      <c r="AG452" s="126"/>
      <c r="AH452" s="127"/>
      <c r="AI452" s="126"/>
      <c r="AJ452" s="127"/>
      <c r="AK452" s="127"/>
      <c r="AL452" s="129"/>
      <c r="AM452" s="129"/>
      <c r="AN452" s="44"/>
      <c r="AO452" s="44"/>
    </row>
    <row r="453" spans="2:41" ht="15.5">
      <c r="B453" s="125"/>
      <c r="C453" s="126"/>
      <c r="D453" s="126"/>
      <c r="E453" s="127"/>
      <c r="F453" s="128"/>
      <c r="G453" s="126"/>
      <c r="H453" s="127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5"/>
      <c r="X453" s="126"/>
      <c r="Y453" s="126"/>
      <c r="Z453" s="126"/>
      <c r="AA453" s="126"/>
      <c r="AB453" s="126"/>
      <c r="AC453" s="126"/>
      <c r="AD453" s="126"/>
      <c r="AE453" s="127"/>
      <c r="AF453" s="126"/>
      <c r="AG453" s="126"/>
      <c r="AH453" s="127"/>
      <c r="AI453" s="126"/>
      <c r="AJ453" s="127"/>
      <c r="AK453" s="127"/>
      <c r="AL453" s="129"/>
      <c r="AM453" s="129"/>
      <c r="AN453" s="44"/>
      <c r="AO453" s="44"/>
    </row>
    <row r="454" spans="2:41" ht="15.5">
      <c r="B454" s="125"/>
      <c r="C454" s="126"/>
      <c r="D454" s="126"/>
      <c r="E454" s="127"/>
      <c r="F454" s="128"/>
      <c r="G454" s="126"/>
      <c r="H454" s="127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5"/>
      <c r="X454" s="126"/>
      <c r="Y454" s="126"/>
      <c r="Z454" s="126"/>
      <c r="AA454" s="126"/>
      <c r="AB454" s="126"/>
      <c r="AC454" s="126"/>
      <c r="AD454" s="126"/>
      <c r="AE454" s="127"/>
      <c r="AF454" s="126"/>
      <c r="AG454" s="126"/>
      <c r="AH454" s="127"/>
      <c r="AI454" s="126"/>
      <c r="AJ454" s="127"/>
      <c r="AK454" s="127"/>
      <c r="AL454" s="129"/>
      <c r="AM454" s="129"/>
      <c r="AN454" s="44"/>
      <c r="AO454" s="44"/>
    </row>
    <row r="455" spans="2:41" ht="15.5">
      <c r="B455" s="125"/>
      <c r="C455" s="126"/>
      <c r="D455" s="126"/>
      <c r="E455" s="127"/>
      <c r="F455" s="128"/>
      <c r="G455" s="126"/>
      <c r="H455" s="127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5"/>
      <c r="X455" s="126"/>
      <c r="Y455" s="126"/>
      <c r="Z455" s="126"/>
      <c r="AA455" s="126"/>
      <c r="AB455" s="126"/>
      <c r="AC455" s="126"/>
      <c r="AD455" s="126"/>
      <c r="AE455" s="127"/>
      <c r="AF455" s="126"/>
      <c r="AG455" s="126"/>
      <c r="AH455" s="127"/>
      <c r="AI455" s="126"/>
      <c r="AJ455" s="127"/>
      <c r="AK455" s="127"/>
      <c r="AL455" s="129"/>
      <c r="AM455" s="129"/>
      <c r="AN455" s="44"/>
      <c r="AO455" s="44"/>
    </row>
    <row r="456" spans="2:41" ht="15.5">
      <c r="B456" s="125"/>
      <c r="C456" s="126"/>
      <c r="D456" s="126"/>
      <c r="E456" s="127"/>
      <c r="F456" s="128"/>
      <c r="G456" s="126"/>
      <c r="H456" s="127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5"/>
      <c r="X456" s="126"/>
      <c r="Y456" s="126"/>
      <c r="Z456" s="126"/>
      <c r="AA456" s="126"/>
      <c r="AB456" s="126"/>
      <c r="AC456" s="126"/>
      <c r="AD456" s="126"/>
      <c r="AE456" s="127"/>
      <c r="AF456" s="126"/>
      <c r="AG456" s="126"/>
      <c r="AH456" s="127"/>
      <c r="AI456" s="126"/>
      <c r="AJ456" s="127"/>
      <c r="AK456" s="127"/>
      <c r="AL456" s="129"/>
      <c r="AM456" s="129"/>
      <c r="AN456" s="44"/>
      <c r="AO456" s="44"/>
    </row>
    <row r="457" spans="2:41" ht="15.5">
      <c r="B457" s="125"/>
      <c r="C457" s="126"/>
      <c r="D457" s="126"/>
      <c r="E457" s="127"/>
      <c r="F457" s="128"/>
      <c r="G457" s="126"/>
      <c r="H457" s="127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5"/>
      <c r="X457" s="126"/>
      <c r="Y457" s="126"/>
      <c r="Z457" s="126"/>
      <c r="AA457" s="126"/>
      <c r="AB457" s="126"/>
      <c r="AC457" s="126"/>
      <c r="AD457" s="126"/>
      <c r="AE457" s="127"/>
      <c r="AF457" s="126"/>
      <c r="AG457" s="126"/>
      <c r="AH457" s="127"/>
      <c r="AI457" s="126"/>
      <c r="AJ457" s="127"/>
      <c r="AK457" s="127"/>
      <c r="AL457" s="129"/>
      <c r="AM457" s="129"/>
      <c r="AN457" s="44"/>
      <c r="AO457" s="44"/>
    </row>
    <row r="458" spans="2:41" ht="15.5">
      <c r="B458" s="125"/>
      <c r="C458" s="126"/>
      <c r="D458" s="126"/>
      <c r="E458" s="127"/>
      <c r="F458" s="128"/>
      <c r="G458" s="126"/>
      <c r="H458" s="127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5"/>
      <c r="X458" s="126"/>
      <c r="Y458" s="126"/>
      <c r="Z458" s="126"/>
      <c r="AA458" s="126"/>
      <c r="AB458" s="126"/>
      <c r="AC458" s="126"/>
      <c r="AD458" s="126"/>
      <c r="AE458" s="127"/>
      <c r="AF458" s="126"/>
      <c r="AG458" s="126"/>
      <c r="AH458" s="127"/>
      <c r="AI458" s="126"/>
      <c r="AJ458" s="127"/>
      <c r="AK458" s="127"/>
      <c r="AL458" s="129"/>
      <c r="AM458" s="129"/>
      <c r="AN458" s="44"/>
      <c r="AO458" s="44"/>
    </row>
    <row r="459" spans="2:41" ht="15.5">
      <c r="B459" s="125"/>
      <c r="C459" s="126"/>
      <c r="D459" s="126"/>
      <c r="E459" s="127"/>
      <c r="F459" s="128"/>
      <c r="G459" s="126"/>
      <c r="H459" s="127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5"/>
      <c r="X459" s="126"/>
      <c r="Y459" s="126"/>
      <c r="Z459" s="126"/>
      <c r="AA459" s="126"/>
      <c r="AB459" s="126"/>
      <c r="AC459" s="126"/>
      <c r="AD459" s="126"/>
      <c r="AE459" s="127"/>
      <c r="AF459" s="126"/>
      <c r="AG459" s="126"/>
      <c r="AH459" s="127"/>
      <c r="AI459" s="126"/>
      <c r="AJ459" s="127"/>
      <c r="AK459" s="127"/>
      <c r="AL459" s="129"/>
      <c r="AM459" s="129"/>
      <c r="AN459" s="44"/>
      <c r="AO459" s="44"/>
    </row>
    <row r="460" spans="2:41" ht="15.5">
      <c r="B460" s="125"/>
      <c r="C460" s="126"/>
      <c r="D460" s="126"/>
      <c r="E460" s="127"/>
      <c r="F460" s="128"/>
      <c r="G460" s="126"/>
      <c r="H460" s="127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5"/>
      <c r="X460" s="126"/>
      <c r="Y460" s="126"/>
      <c r="Z460" s="126"/>
      <c r="AA460" s="126"/>
      <c r="AB460" s="126"/>
      <c r="AC460" s="126"/>
      <c r="AD460" s="126"/>
      <c r="AE460" s="127"/>
      <c r="AF460" s="126"/>
      <c r="AG460" s="126"/>
      <c r="AH460" s="127"/>
      <c r="AI460" s="126"/>
      <c r="AJ460" s="127"/>
      <c r="AK460" s="127"/>
      <c r="AL460" s="129"/>
      <c r="AM460" s="129"/>
      <c r="AN460" s="44"/>
      <c r="AO460" s="44"/>
    </row>
    <row r="461" spans="2:41" ht="15.5">
      <c r="B461" s="125"/>
      <c r="C461" s="126"/>
      <c r="D461" s="126"/>
      <c r="E461" s="127"/>
      <c r="F461" s="128"/>
      <c r="G461" s="126"/>
      <c r="H461" s="127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5"/>
      <c r="X461" s="126"/>
      <c r="Y461" s="126"/>
      <c r="Z461" s="126"/>
      <c r="AA461" s="126"/>
      <c r="AB461" s="126"/>
      <c r="AC461" s="126"/>
      <c r="AD461" s="126"/>
      <c r="AE461" s="127"/>
      <c r="AF461" s="126"/>
      <c r="AG461" s="126"/>
      <c r="AH461" s="127"/>
      <c r="AI461" s="126"/>
      <c r="AJ461" s="127"/>
      <c r="AK461" s="127"/>
      <c r="AL461" s="129"/>
      <c r="AM461" s="129"/>
      <c r="AN461" s="44"/>
      <c r="AO461" s="44"/>
    </row>
    <row r="462" spans="2:41" ht="15.5">
      <c r="B462" s="125"/>
      <c r="C462" s="126"/>
      <c r="D462" s="126"/>
      <c r="E462" s="127"/>
      <c r="F462" s="128"/>
      <c r="G462" s="126"/>
      <c r="H462" s="127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5"/>
      <c r="X462" s="126"/>
      <c r="Y462" s="126"/>
      <c r="Z462" s="126"/>
      <c r="AA462" s="126"/>
      <c r="AB462" s="126"/>
      <c r="AC462" s="126"/>
      <c r="AD462" s="126"/>
      <c r="AE462" s="127"/>
      <c r="AF462" s="126"/>
      <c r="AG462" s="126"/>
      <c r="AH462" s="127"/>
      <c r="AI462" s="126"/>
      <c r="AJ462" s="127"/>
      <c r="AK462" s="127"/>
      <c r="AL462" s="129"/>
      <c r="AM462" s="129"/>
      <c r="AN462" s="44"/>
      <c r="AO462" s="44"/>
    </row>
    <row r="463" spans="2:41" ht="15.5">
      <c r="B463" s="125"/>
      <c r="C463" s="126"/>
      <c r="D463" s="126"/>
      <c r="E463" s="127"/>
      <c r="F463" s="128"/>
      <c r="G463" s="126"/>
      <c r="H463" s="127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5"/>
      <c r="X463" s="126"/>
      <c r="Y463" s="126"/>
      <c r="Z463" s="126"/>
      <c r="AA463" s="126"/>
      <c r="AB463" s="126"/>
      <c r="AC463" s="126"/>
      <c r="AD463" s="126"/>
      <c r="AE463" s="127"/>
      <c r="AF463" s="126"/>
      <c r="AG463" s="126"/>
      <c r="AH463" s="127"/>
      <c r="AI463" s="126"/>
      <c r="AJ463" s="127"/>
      <c r="AK463" s="127"/>
      <c r="AL463" s="129"/>
      <c r="AM463" s="129"/>
      <c r="AN463" s="44"/>
      <c r="AO463" s="44"/>
    </row>
    <row r="464" spans="2:41" ht="15.5">
      <c r="B464" s="125"/>
      <c r="C464" s="126"/>
      <c r="D464" s="126"/>
      <c r="E464" s="127"/>
      <c r="F464" s="128"/>
      <c r="G464" s="126"/>
      <c r="H464" s="127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5"/>
      <c r="X464" s="126"/>
      <c r="Y464" s="126"/>
      <c r="Z464" s="126"/>
      <c r="AA464" s="126"/>
      <c r="AB464" s="126"/>
      <c r="AC464" s="126"/>
      <c r="AD464" s="126"/>
      <c r="AE464" s="127"/>
      <c r="AF464" s="126"/>
      <c r="AG464" s="126"/>
      <c r="AH464" s="127"/>
      <c r="AI464" s="126"/>
      <c r="AJ464" s="127"/>
      <c r="AK464" s="127"/>
      <c r="AL464" s="129"/>
      <c r="AM464" s="129"/>
      <c r="AN464" s="44"/>
      <c r="AO464" s="44"/>
    </row>
    <row r="465" spans="2:41" ht="15.5">
      <c r="B465" s="125"/>
      <c r="C465" s="126"/>
      <c r="D465" s="126"/>
      <c r="E465" s="127"/>
      <c r="F465" s="128"/>
      <c r="G465" s="126"/>
      <c r="H465" s="127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5"/>
      <c r="X465" s="126"/>
      <c r="Y465" s="126"/>
      <c r="Z465" s="126"/>
      <c r="AA465" s="126"/>
      <c r="AB465" s="126"/>
      <c r="AC465" s="126"/>
      <c r="AD465" s="126"/>
      <c r="AE465" s="127"/>
      <c r="AF465" s="126"/>
      <c r="AG465" s="126"/>
      <c r="AH465" s="127"/>
      <c r="AI465" s="126"/>
      <c r="AJ465" s="127"/>
      <c r="AK465" s="127"/>
      <c r="AL465" s="129"/>
      <c r="AM465" s="129"/>
      <c r="AN465" s="44"/>
      <c r="AO465" s="44"/>
    </row>
    <row r="466" spans="2:41" ht="15.5">
      <c r="B466" s="125"/>
      <c r="C466" s="126"/>
      <c r="D466" s="126"/>
      <c r="E466" s="127"/>
      <c r="F466" s="128"/>
      <c r="G466" s="126"/>
      <c r="H466" s="127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5"/>
      <c r="X466" s="126"/>
      <c r="Y466" s="126"/>
      <c r="Z466" s="126"/>
      <c r="AA466" s="126"/>
      <c r="AB466" s="126"/>
      <c r="AC466" s="126"/>
      <c r="AD466" s="126"/>
      <c r="AE466" s="127"/>
      <c r="AF466" s="126"/>
      <c r="AG466" s="126"/>
      <c r="AH466" s="127"/>
      <c r="AI466" s="126"/>
      <c r="AJ466" s="127"/>
      <c r="AK466" s="127"/>
      <c r="AL466" s="129"/>
      <c r="AM466" s="129"/>
      <c r="AN466" s="44"/>
      <c r="AO466" s="44"/>
    </row>
    <row r="467" spans="2:41" ht="15.5">
      <c r="B467" s="125"/>
      <c r="C467" s="126"/>
      <c r="D467" s="126"/>
      <c r="E467" s="127"/>
      <c r="F467" s="128"/>
      <c r="G467" s="126"/>
      <c r="H467" s="127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5"/>
      <c r="X467" s="126"/>
      <c r="Y467" s="126"/>
      <c r="Z467" s="126"/>
      <c r="AA467" s="126"/>
      <c r="AB467" s="126"/>
      <c r="AC467" s="126"/>
      <c r="AD467" s="126"/>
      <c r="AE467" s="127"/>
      <c r="AF467" s="126"/>
      <c r="AG467" s="126"/>
      <c r="AH467" s="127"/>
      <c r="AI467" s="126"/>
      <c r="AJ467" s="127"/>
      <c r="AK467" s="127"/>
      <c r="AL467" s="129"/>
      <c r="AM467" s="129"/>
      <c r="AN467" s="44"/>
      <c r="AO467" s="44"/>
    </row>
    <row r="468" spans="2:41" ht="15.5">
      <c r="B468" s="125"/>
      <c r="C468" s="126"/>
      <c r="D468" s="126"/>
      <c r="E468" s="127"/>
      <c r="F468" s="128"/>
      <c r="G468" s="126"/>
      <c r="H468" s="127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5"/>
      <c r="X468" s="126"/>
      <c r="Y468" s="126"/>
      <c r="Z468" s="126"/>
      <c r="AA468" s="126"/>
      <c r="AB468" s="126"/>
      <c r="AC468" s="126"/>
      <c r="AD468" s="126"/>
      <c r="AE468" s="127"/>
      <c r="AF468" s="126"/>
      <c r="AG468" s="126"/>
      <c r="AH468" s="127"/>
      <c r="AI468" s="126"/>
      <c r="AJ468" s="127"/>
      <c r="AK468" s="127"/>
      <c r="AL468" s="129"/>
      <c r="AM468" s="129"/>
      <c r="AN468" s="44"/>
      <c r="AO468" s="44"/>
    </row>
    <row r="469" spans="2:41" ht="15.5">
      <c r="B469" s="125"/>
      <c r="C469" s="126"/>
      <c r="D469" s="126"/>
      <c r="E469" s="127"/>
      <c r="F469" s="128"/>
      <c r="G469" s="126"/>
      <c r="H469" s="127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5"/>
      <c r="X469" s="126"/>
      <c r="Y469" s="126"/>
      <c r="Z469" s="126"/>
      <c r="AA469" s="126"/>
      <c r="AB469" s="126"/>
      <c r="AC469" s="126"/>
      <c r="AD469" s="126"/>
      <c r="AE469" s="127"/>
      <c r="AF469" s="126"/>
      <c r="AG469" s="126"/>
      <c r="AH469" s="127"/>
      <c r="AI469" s="126"/>
      <c r="AJ469" s="127"/>
      <c r="AK469" s="127"/>
      <c r="AL469" s="129"/>
      <c r="AM469" s="129"/>
      <c r="AN469" s="44"/>
      <c r="AO469" s="44"/>
    </row>
    <row r="470" spans="2:41" ht="15.5">
      <c r="B470" s="125"/>
      <c r="C470" s="126"/>
      <c r="D470" s="126"/>
      <c r="E470" s="127"/>
      <c r="F470" s="128"/>
      <c r="G470" s="126"/>
      <c r="H470" s="127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5"/>
      <c r="X470" s="126"/>
      <c r="Y470" s="126"/>
      <c r="Z470" s="126"/>
      <c r="AA470" s="126"/>
      <c r="AB470" s="126"/>
      <c r="AC470" s="126"/>
      <c r="AD470" s="126"/>
      <c r="AE470" s="127"/>
      <c r="AF470" s="126"/>
      <c r="AG470" s="126"/>
      <c r="AH470" s="127"/>
      <c r="AI470" s="126"/>
      <c r="AJ470" s="127"/>
      <c r="AK470" s="127"/>
      <c r="AL470" s="129"/>
      <c r="AM470" s="129"/>
      <c r="AN470" s="44"/>
      <c r="AO470" s="44"/>
    </row>
    <row r="471" spans="2:41" ht="15.5">
      <c r="B471" s="125"/>
      <c r="C471" s="126"/>
      <c r="D471" s="126"/>
      <c r="E471" s="127"/>
      <c r="F471" s="128"/>
      <c r="G471" s="126"/>
      <c r="H471" s="127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5"/>
      <c r="X471" s="126"/>
      <c r="Y471" s="126"/>
      <c r="Z471" s="126"/>
      <c r="AA471" s="126"/>
      <c r="AB471" s="126"/>
      <c r="AC471" s="126"/>
      <c r="AD471" s="126"/>
      <c r="AE471" s="127"/>
      <c r="AF471" s="126"/>
      <c r="AG471" s="126"/>
      <c r="AH471" s="127"/>
      <c r="AI471" s="126"/>
      <c r="AJ471" s="127"/>
      <c r="AK471" s="127"/>
      <c r="AL471" s="129"/>
      <c r="AM471" s="129"/>
      <c r="AN471" s="44"/>
      <c r="AO471" s="44"/>
    </row>
    <row r="472" spans="2:41" ht="15.5">
      <c r="B472" s="125"/>
      <c r="C472" s="126"/>
      <c r="D472" s="126"/>
      <c r="E472" s="127"/>
      <c r="F472" s="128"/>
      <c r="G472" s="126"/>
      <c r="H472" s="127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5"/>
      <c r="X472" s="126"/>
      <c r="Y472" s="126"/>
      <c r="Z472" s="126"/>
      <c r="AA472" s="126"/>
      <c r="AB472" s="126"/>
      <c r="AC472" s="126"/>
      <c r="AD472" s="126"/>
      <c r="AE472" s="127"/>
      <c r="AF472" s="126"/>
      <c r="AG472" s="126"/>
      <c r="AH472" s="127"/>
      <c r="AI472" s="126"/>
      <c r="AJ472" s="127"/>
      <c r="AK472" s="127"/>
      <c r="AL472" s="129"/>
      <c r="AM472" s="129"/>
      <c r="AN472" s="44"/>
      <c r="AO472" s="44"/>
    </row>
    <row r="473" spans="2:41" ht="15.5">
      <c r="B473" s="125"/>
      <c r="C473" s="126"/>
      <c r="D473" s="126"/>
      <c r="E473" s="127"/>
      <c r="F473" s="128"/>
      <c r="G473" s="126"/>
      <c r="H473" s="127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5"/>
      <c r="X473" s="126"/>
      <c r="Y473" s="126"/>
      <c r="Z473" s="126"/>
      <c r="AA473" s="126"/>
      <c r="AB473" s="126"/>
      <c r="AC473" s="126"/>
      <c r="AD473" s="126"/>
      <c r="AE473" s="127"/>
      <c r="AF473" s="126"/>
      <c r="AG473" s="126"/>
      <c r="AH473" s="127"/>
      <c r="AI473" s="126"/>
      <c r="AJ473" s="127"/>
      <c r="AK473" s="127"/>
      <c r="AL473" s="129"/>
      <c r="AM473" s="129"/>
      <c r="AN473" s="44"/>
      <c r="AO473" s="44"/>
    </row>
    <row r="474" spans="2:41" ht="15.5">
      <c r="B474" s="125"/>
      <c r="C474" s="126"/>
      <c r="D474" s="126"/>
      <c r="E474" s="127"/>
      <c r="F474" s="128"/>
      <c r="G474" s="126"/>
      <c r="H474" s="127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5"/>
      <c r="X474" s="126"/>
      <c r="Y474" s="126"/>
      <c r="Z474" s="126"/>
      <c r="AA474" s="126"/>
      <c r="AB474" s="126"/>
      <c r="AC474" s="126"/>
      <c r="AD474" s="126"/>
      <c r="AE474" s="127"/>
      <c r="AF474" s="126"/>
      <c r="AG474" s="126"/>
      <c r="AH474" s="127"/>
      <c r="AI474" s="126"/>
      <c r="AJ474" s="127"/>
      <c r="AK474" s="127"/>
      <c r="AL474" s="129"/>
      <c r="AM474" s="129"/>
      <c r="AN474" s="44"/>
      <c r="AO474" s="44"/>
    </row>
    <row r="475" spans="2:41" ht="15.5">
      <c r="B475" s="125"/>
      <c r="C475" s="126"/>
      <c r="D475" s="126"/>
      <c r="E475" s="127"/>
      <c r="F475" s="128"/>
      <c r="G475" s="126"/>
      <c r="H475" s="127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5"/>
      <c r="X475" s="126"/>
      <c r="Y475" s="126"/>
      <c r="Z475" s="126"/>
      <c r="AA475" s="126"/>
      <c r="AB475" s="126"/>
      <c r="AC475" s="126"/>
      <c r="AD475" s="126"/>
      <c r="AE475" s="127"/>
      <c r="AF475" s="126"/>
      <c r="AG475" s="126"/>
      <c r="AH475" s="127"/>
      <c r="AI475" s="126"/>
      <c r="AJ475" s="127"/>
      <c r="AK475" s="127"/>
      <c r="AL475" s="129"/>
      <c r="AM475" s="129"/>
      <c r="AN475" s="44"/>
      <c r="AO475" s="44"/>
    </row>
    <row r="476" spans="2:41" ht="15.5">
      <c r="B476" s="125"/>
      <c r="C476" s="126"/>
      <c r="D476" s="126"/>
      <c r="E476" s="127"/>
      <c r="F476" s="128"/>
      <c r="G476" s="126"/>
      <c r="H476" s="127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5"/>
      <c r="X476" s="126"/>
      <c r="Y476" s="126"/>
      <c r="Z476" s="126"/>
      <c r="AA476" s="126"/>
      <c r="AB476" s="126"/>
      <c r="AC476" s="126"/>
      <c r="AD476" s="126"/>
      <c r="AE476" s="127"/>
      <c r="AF476" s="126"/>
      <c r="AG476" s="126"/>
      <c r="AH476" s="127"/>
      <c r="AI476" s="126"/>
      <c r="AJ476" s="127"/>
      <c r="AK476" s="127"/>
      <c r="AL476" s="129"/>
      <c r="AM476" s="129"/>
      <c r="AN476" s="44"/>
      <c r="AO476" s="44"/>
    </row>
    <row r="477" spans="2:41" ht="15.5">
      <c r="B477" s="125"/>
      <c r="C477" s="126"/>
      <c r="D477" s="126"/>
      <c r="E477" s="127"/>
      <c r="F477" s="128"/>
      <c r="G477" s="126"/>
      <c r="H477" s="127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5"/>
      <c r="X477" s="126"/>
      <c r="Y477" s="126"/>
      <c r="Z477" s="126"/>
      <c r="AA477" s="126"/>
      <c r="AB477" s="126"/>
      <c r="AC477" s="126"/>
      <c r="AD477" s="126"/>
      <c r="AE477" s="127"/>
      <c r="AF477" s="126"/>
      <c r="AG477" s="126"/>
      <c r="AH477" s="127"/>
      <c r="AI477" s="126"/>
      <c r="AJ477" s="127"/>
      <c r="AK477" s="127"/>
      <c r="AL477" s="129"/>
      <c r="AM477" s="129"/>
      <c r="AN477" s="44"/>
      <c r="AO477" s="44"/>
    </row>
    <row r="478" spans="2:41" ht="15.5">
      <c r="B478" s="125"/>
      <c r="C478" s="126"/>
      <c r="D478" s="126"/>
      <c r="E478" s="127"/>
      <c r="F478" s="128"/>
      <c r="G478" s="126"/>
      <c r="H478" s="127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5"/>
      <c r="X478" s="126"/>
      <c r="Y478" s="126"/>
      <c r="Z478" s="126"/>
      <c r="AA478" s="126"/>
      <c r="AB478" s="126"/>
      <c r="AC478" s="126"/>
      <c r="AD478" s="126"/>
      <c r="AE478" s="127"/>
      <c r="AF478" s="126"/>
      <c r="AG478" s="126"/>
      <c r="AH478" s="127"/>
      <c r="AI478" s="126"/>
      <c r="AJ478" s="127"/>
      <c r="AK478" s="127"/>
      <c r="AL478" s="129"/>
      <c r="AM478" s="129"/>
      <c r="AN478" s="44"/>
      <c r="AO478" s="44"/>
    </row>
    <row r="479" spans="2:41" ht="15.5">
      <c r="B479" s="125"/>
      <c r="C479" s="126"/>
      <c r="D479" s="126"/>
      <c r="E479" s="127"/>
      <c r="F479" s="128"/>
      <c r="G479" s="126"/>
      <c r="H479" s="127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5"/>
      <c r="X479" s="126"/>
      <c r="Y479" s="126"/>
      <c r="Z479" s="126"/>
      <c r="AA479" s="126"/>
      <c r="AB479" s="126"/>
      <c r="AC479" s="126"/>
      <c r="AD479" s="126"/>
      <c r="AE479" s="127"/>
      <c r="AF479" s="126"/>
      <c r="AG479" s="126"/>
      <c r="AH479" s="127"/>
      <c r="AI479" s="126"/>
      <c r="AJ479" s="127"/>
      <c r="AK479" s="127"/>
      <c r="AL479" s="129"/>
      <c r="AM479" s="129"/>
      <c r="AN479" s="44"/>
      <c r="AO479" s="44"/>
    </row>
    <row r="480" spans="2:41" ht="15.5">
      <c r="B480" s="125"/>
      <c r="C480" s="126"/>
      <c r="D480" s="126"/>
      <c r="E480" s="127"/>
      <c r="F480" s="128"/>
      <c r="G480" s="126"/>
      <c r="H480" s="127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5"/>
      <c r="X480" s="126"/>
      <c r="Y480" s="126"/>
      <c r="Z480" s="126"/>
      <c r="AA480" s="126"/>
      <c r="AB480" s="126"/>
      <c r="AC480" s="126"/>
      <c r="AD480" s="126"/>
      <c r="AE480" s="127"/>
      <c r="AF480" s="126"/>
      <c r="AG480" s="126"/>
      <c r="AH480" s="127"/>
      <c r="AI480" s="126"/>
      <c r="AJ480" s="127"/>
      <c r="AK480" s="127"/>
      <c r="AL480" s="129"/>
      <c r="AM480" s="129"/>
      <c r="AN480" s="44"/>
      <c r="AO480" s="44"/>
    </row>
    <row r="481" spans="2:41" ht="15.5">
      <c r="B481" s="125"/>
      <c r="C481" s="126"/>
      <c r="D481" s="126"/>
      <c r="E481" s="127"/>
      <c r="F481" s="128"/>
      <c r="G481" s="126"/>
      <c r="H481" s="127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5"/>
      <c r="X481" s="126"/>
      <c r="Y481" s="126"/>
      <c r="Z481" s="126"/>
      <c r="AA481" s="126"/>
      <c r="AB481" s="126"/>
      <c r="AC481" s="126"/>
      <c r="AD481" s="126"/>
      <c r="AE481" s="127"/>
      <c r="AF481" s="126"/>
      <c r="AG481" s="126"/>
      <c r="AH481" s="127"/>
      <c r="AI481" s="126"/>
      <c r="AJ481" s="127"/>
      <c r="AK481" s="127"/>
      <c r="AL481" s="129"/>
      <c r="AM481" s="129"/>
      <c r="AN481" s="44"/>
      <c r="AO481" s="44"/>
    </row>
    <row r="482" spans="2:41" ht="15.5">
      <c r="B482" s="125"/>
      <c r="C482" s="126"/>
      <c r="D482" s="126"/>
      <c r="E482" s="127"/>
      <c r="F482" s="128"/>
      <c r="G482" s="126"/>
      <c r="H482" s="127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5"/>
      <c r="X482" s="126"/>
      <c r="Y482" s="126"/>
      <c r="Z482" s="126"/>
      <c r="AA482" s="126"/>
      <c r="AB482" s="126"/>
      <c r="AC482" s="126"/>
      <c r="AD482" s="126"/>
      <c r="AE482" s="127"/>
      <c r="AF482" s="126"/>
      <c r="AG482" s="126"/>
      <c r="AH482" s="127"/>
      <c r="AI482" s="126"/>
      <c r="AJ482" s="127"/>
      <c r="AK482" s="127"/>
      <c r="AL482" s="129"/>
      <c r="AM482" s="129"/>
      <c r="AN482" s="44"/>
      <c r="AO482" s="44"/>
    </row>
    <row r="483" spans="2:41" ht="15.5">
      <c r="B483" s="125"/>
      <c r="C483" s="126"/>
      <c r="D483" s="126"/>
      <c r="E483" s="127"/>
      <c r="F483" s="128"/>
      <c r="G483" s="126"/>
      <c r="H483" s="127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5"/>
      <c r="X483" s="126"/>
      <c r="Y483" s="126"/>
      <c r="Z483" s="126"/>
      <c r="AA483" s="126"/>
      <c r="AB483" s="126"/>
      <c r="AC483" s="126"/>
      <c r="AD483" s="126"/>
      <c r="AE483" s="127"/>
      <c r="AF483" s="126"/>
      <c r="AG483" s="126"/>
      <c r="AH483" s="127"/>
      <c r="AI483" s="126"/>
      <c r="AJ483" s="127"/>
      <c r="AK483" s="127"/>
      <c r="AL483" s="129"/>
      <c r="AM483" s="129"/>
      <c r="AN483" s="44"/>
      <c r="AO483" s="44"/>
    </row>
    <row r="484" spans="2:41" ht="15.5">
      <c r="B484" s="125"/>
      <c r="C484" s="126"/>
      <c r="D484" s="126"/>
      <c r="E484" s="127"/>
      <c r="F484" s="128"/>
      <c r="G484" s="126"/>
      <c r="H484" s="127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5"/>
      <c r="X484" s="126"/>
      <c r="Y484" s="126"/>
      <c r="Z484" s="126"/>
      <c r="AA484" s="126"/>
      <c r="AB484" s="126"/>
      <c r="AC484" s="126"/>
      <c r="AD484" s="126"/>
      <c r="AE484" s="127"/>
      <c r="AF484" s="126"/>
      <c r="AG484" s="126"/>
      <c r="AH484" s="127"/>
      <c r="AI484" s="126"/>
      <c r="AJ484" s="127"/>
      <c r="AK484" s="127"/>
      <c r="AL484" s="129"/>
      <c r="AM484" s="129"/>
      <c r="AN484" s="44"/>
      <c r="AO484" s="44"/>
    </row>
    <row r="485" spans="2:41" ht="15.5">
      <c r="B485" s="125"/>
      <c r="C485" s="126"/>
      <c r="D485" s="126"/>
      <c r="E485" s="127"/>
      <c r="F485" s="128"/>
      <c r="G485" s="126"/>
      <c r="H485" s="127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5"/>
      <c r="X485" s="126"/>
      <c r="Y485" s="126"/>
      <c r="Z485" s="126"/>
      <c r="AA485" s="126"/>
      <c r="AB485" s="126"/>
      <c r="AC485" s="126"/>
      <c r="AD485" s="126"/>
      <c r="AE485" s="127"/>
      <c r="AF485" s="126"/>
      <c r="AG485" s="126"/>
      <c r="AH485" s="127"/>
      <c r="AI485" s="126"/>
      <c r="AJ485" s="127"/>
      <c r="AK485" s="127"/>
      <c r="AL485" s="129"/>
      <c r="AM485" s="129"/>
      <c r="AN485" s="44"/>
      <c r="AO485" s="44"/>
    </row>
    <row r="486" spans="2:41" ht="15.5">
      <c r="B486" s="125"/>
      <c r="C486" s="126"/>
      <c r="D486" s="126"/>
      <c r="E486" s="127"/>
      <c r="F486" s="128"/>
      <c r="G486" s="126"/>
      <c r="H486" s="127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5"/>
      <c r="X486" s="126"/>
      <c r="Y486" s="126"/>
      <c r="Z486" s="126"/>
      <c r="AA486" s="126"/>
      <c r="AB486" s="126"/>
      <c r="AC486" s="126"/>
      <c r="AD486" s="126"/>
      <c r="AE486" s="127"/>
      <c r="AF486" s="126"/>
      <c r="AG486" s="126"/>
      <c r="AH486" s="127"/>
      <c r="AI486" s="126"/>
      <c r="AJ486" s="127"/>
      <c r="AK486" s="127"/>
      <c r="AL486" s="129"/>
      <c r="AM486" s="129"/>
      <c r="AN486" s="44"/>
      <c r="AO486" s="44"/>
    </row>
    <row r="487" spans="2:41" ht="15.5">
      <c r="B487" s="125"/>
      <c r="C487" s="126"/>
      <c r="D487" s="126"/>
      <c r="E487" s="127"/>
      <c r="F487" s="128"/>
      <c r="G487" s="126"/>
      <c r="H487" s="127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5"/>
      <c r="X487" s="126"/>
      <c r="Y487" s="126"/>
      <c r="Z487" s="126"/>
      <c r="AA487" s="126"/>
      <c r="AB487" s="126"/>
      <c r="AC487" s="126"/>
      <c r="AD487" s="126"/>
      <c r="AE487" s="127"/>
      <c r="AF487" s="126"/>
      <c r="AG487" s="126"/>
      <c r="AH487" s="127"/>
      <c r="AI487" s="126"/>
      <c r="AJ487" s="127"/>
      <c r="AK487" s="127"/>
      <c r="AL487" s="129"/>
      <c r="AM487" s="129"/>
      <c r="AN487" s="44"/>
      <c r="AO487" s="44"/>
    </row>
    <row r="488" spans="2:41" ht="15.5">
      <c r="B488" s="125"/>
      <c r="C488" s="126"/>
      <c r="D488" s="126"/>
      <c r="E488" s="127"/>
      <c r="F488" s="128"/>
      <c r="G488" s="126"/>
      <c r="H488" s="127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5"/>
      <c r="X488" s="126"/>
      <c r="Y488" s="126"/>
      <c r="Z488" s="126"/>
      <c r="AA488" s="126"/>
      <c r="AB488" s="126"/>
      <c r="AC488" s="126"/>
      <c r="AD488" s="126"/>
      <c r="AE488" s="127"/>
      <c r="AF488" s="126"/>
      <c r="AG488" s="126"/>
      <c r="AH488" s="127"/>
      <c r="AI488" s="126"/>
      <c r="AJ488" s="127"/>
      <c r="AK488" s="127"/>
      <c r="AL488" s="129"/>
      <c r="AM488" s="129"/>
      <c r="AN488" s="44"/>
      <c r="AO488" s="44"/>
    </row>
    <row r="489" spans="2:41" ht="15.5">
      <c r="B489" s="125"/>
      <c r="C489" s="126"/>
      <c r="D489" s="126"/>
      <c r="E489" s="127"/>
      <c r="F489" s="128"/>
      <c r="G489" s="126"/>
      <c r="H489" s="127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5"/>
      <c r="X489" s="126"/>
      <c r="Y489" s="126"/>
      <c r="Z489" s="126"/>
      <c r="AA489" s="126"/>
      <c r="AB489" s="126"/>
      <c r="AC489" s="126"/>
      <c r="AD489" s="126"/>
      <c r="AE489" s="127"/>
      <c r="AF489" s="126"/>
      <c r="AG489" s="126"/>
      <c r="AH489" s="127"/>
      <c r="AI489" s="126"/>
      <c r="AJ489" s="127"/>
      <c r="AK489" s="127"/>
      <c r="AL489" s="129"/>
      <c r="AM489" s="129"/>
      <c r="AN489" s="44"/>
      <c r="AO489" s="44"/>
    </row>
    <row r="490" spans="2:41" ht="15.5">
      <c r="B490" s="125"/>
      <c r="C490" s="126"/>
      <c r="D490" s="126"/>
      <c r="E490" s="127"/>
      <c r="F490" s="128"/>
      <c r="G490" s="126"/>
      <c r="H490" s="127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5"/>
      <c r="X490" s="126"/>
      <c r="Y490" s="126"/>
      <c r="Z490" s="126"/>
      <c r="AA490" s="126"/>
      <c r="AB490" s="126"/>
      <c r="AC490" s="126"/>
      <c r="AD490" s="126"/>
      <c r="AE490" s="127"/>
      <c r="AF490" s="126"/>
      <c r="AG490" s="126"/>
      <c r="AH490" s="127"/>
      <c r="AI490" s="126"/>
      <c r="AJ490" s="127"/>
      <c r="AK490" s="127"/>
      <c r="AL490" s="129"/>
      <c r="AM490" s="129"/>
      <c r="AN490" s="44"/>
      <c r="AO490" s="44"/>
    </row>
    <row r="491" spans="2:41" ht="15.5">
      <c r="B491" s="125"/>
      <c r="C491" s="126"/>
      <c r="D491" s="126"/>
      <c r="E491" s="127"/>
      <c r="F491" s="128"/>
      <c r="G491" s="126"/>
      <c r="H491" s="127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5"/>
      <c r="X491" s="126"/>
      <c r="Y491" s="126"/>
      <c r="Z491" s="126"/>
      <c r="AA491" s="126"/>
      <c r="AB491" s="126"/>
      <c r="AC491" s="126"/>
      <c r="AD491" s="126"/>
      <c r="AE491" s="127"/>
      <c r="AF491" s="126"/>
      <c r="AG491" s="126"/>
      <c r="AH491" s="127"/>
      <c r="AI491" s="126"/>
      <c r="AJ491" s="127"/>
      <c r="AK491" s="127"/>
      <c r="AL491" s="129"/>
      <c r="AM491" s="129"/>
      <c r="AN491" s="44"/>
      <c r="AO491" s="44"/>
    </row>
    <row r="492" spans="2:41" ht="15.5">
      <c r="B492" s="125"/>
      <c r="C492" s="126"/>
      <c r="D492" s="126"/>
      <c r="E492" s="127"/>
      <c r="F492" s="128"/>
      <c r="G492" s="126"/>
      <c r="H492" s="127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5"/>
      <c r="X492" s="126"/>
      <c r="Y492" s="126"/>
      <c r="Z492" s="126"/>
      <c r="AA492" s="126"/>
      <c r="AB492" s="126"/>
      <c r="AC492" s="126"/>
      <c r="AD492" s="126"/>
      <c r="AE492" s="127"/>
      <c r="AF492" s="126"/>
      <c r="AG492" s="126"/>
      <c r="AH492" s="127"/>
      <c r="AI492" s="126"/>
      <c r="AJ492" s="127"/>
      <c r="AK492" s="127"/>
      <c r="AL492" s="129"/>
      <c r="AM492" s="129"/>
      <c r="AN492" s="44"/>
      <c r="AO492" s="44"/>
    </row>
    <row r="493" spans="2:41" ht="15.5">
      <c r="B493" s="125"/>
      <c r="C493" s="126"/>
      <c r="D493" s="126"/>
      <c r="E493" s="127"/>
      <c r="F493" s="128"/>
      <c r="G493" s="126"/>
      <c r="H493" s="127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5"/>
      <c r="X493" s="126"/>
      <c r="Y493" s="126"/>
      <c r="Z493" s="126"/>
      <c r="AA493" s="126"/>
      <c r="AB493" s="126"/>
      <c r="AC493" s="126"/>
      <c r="AD493" s="126"/>
      <c r="AE493" s="127"/>
      <c r="AF493" s="126"/>
      <c r="AG493" s="126"/>
      <c r="AH493" s="127"/>
      <c r="AI493" s="126"/>
      <c r="AJ493" s="127"/>
      <c r="AK493" s="127"/>
      <c r="AL493" s="129"/>
      <c r="AM493" s="129"/>
      <c r="AN493" s="44"/>
      <c r="AO493" s="44"/>
    </row>
    <row r="494" spans="2:41" ht="15.5">
      <c r="B494" s="125"/>
      <c r="C494" s="126"/>
      <c r="D494" s="126"/>
      <c r="E494" s="127"/>
      <c r="F494" s="128"/>
      <c r="G494" s="126"/>
      <c r="H494" s="127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5"/>
      <c r="X494" s="126"/>
      <c r="Y494" s="126"/>
      <c r="Z494" s="126"/>
      <c r="AA494" s="126"/>
      <c r="AB494" s="126"/>
      <c r="AC494" s="126"/>
      <c r="AD494" s="126"/>
      <c r="AE494" s="127"/>
      <c r="AF494" s="126"/>
      <c r="AG494" s="126"/>
      <c r="AH494" s="127"/>
      <c r="AI494" s="126"/>
      <c r="AJ494" s="127"/>
      <c r="AK494" s="127"/>
      <c r="AL494" s="129"/>
      <c r="AM494" s="129"/>
      <c r="AN494" s="44"/>
      <c r="AO494" s="44"/>
    </row>
    <row r="495" spans="2:41" ht="15.5">
      <c r="B495" s="125"/>
      <c r="C495" s="126"/>
      <c r="D495" s="126"/>
      <c r="E495" s="127"/>
      <c r="F495" s="128"/>
      <c r="G495" s="126"/>
      <c r="H495" s="127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5"/>
      <c r="X495" s="126"/>
      <c r="Y495" s="126"/>
      <c r="Z495" s="126"/>
      <c r="AA495" s="126"/>
      <c r="AB495" s="126"/>
      <c r="AC495" s="126"/>
      <c r="AD495" s="126"/>
      <c r="AE495" s="127"/>
      <c r="AF495" s="126"/>
      <c r="AG495" s="126"/>
      <c r="AH495" s="127"/>
      <c r="AI495" s="126"/>
      <c r="AJ495" s="127"/>
      <c r="AK495" s="127"/>
      <c r="AL495" s="129"/>
      <c r="AM495" s="129"/>
      <c r="AN495" s="44"/>
      <c r="AO495" s="44"/>
    </row>
    <row r="496" spans="2:41" ht="15.5">
      <c r="B496" s="125"/>
      <c r="C496" s="126"/>
      <c r="D496" s="126"/>
      <c r="E496" s="127"/>
      <c r="F496" s="128"/>
      <c r="G496" s="126"/>
      <c r="H496" s="127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5"/>
      <c r="X496" s="126"/>
      <c r="Y496" s="126"/>
      <c r="Z496" s="126"/>
      <c r="AA496" s="126"/>
      <c r="AB496" s="126"/>
      <c r="AC496" s="126"/>
      <c r="AD496" s="126"/>
      <c r="AE496" s="127"/>
      <c r="AF496" s="126"/>
      <c r="AG496" s="126"/>
      <c r="AH496" s="127"/>
      <c r="AI496" s="126"/>
      <c r="AJ496" s="127"/>
      <c r="AK496" s="127"/>
      <c r="AL496" s="129"/>
      <c r="AM496" s="129"/>
      <c r="AN496" s="44"/>
      <c r="AO496" s="44"/>
    </row>
    <row r="497" spans="2:41" ht="15.5">
      <c r="B497" s="125"/>
      <c r="C497" s="126"/>
      <c r="D497" s="126"/>
      <c r="E497" s="127"/>
      <c r="F497" s="128"/>
      <c r="G497" s="126"/>
      <c r="H497" s="127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5"/>
      <c r="X497" s="126"/>
      <c r="Y497" s="126"/>
      <c r="Z497" s="126"/>
      <c r="AA497" s="126"/>
      <c r="AB497" s="126"/>
      <c r="AC497" s="126"/>
      <c r="AD497" s="126"/>
      <c r="AE497" s="127"/>
      <c r="AF497" s="126"/>
      <c r="AG497" s="126"/>
      <c r="AH497" s="127"/>
      <c r="AI497" s="126"/>
      <c r="AJ497" s="127"/>
      <c r="AK497" s="127"/>
      <c r="AL497" s="129"/>
      <c r="AM497" s="129"/>
      <c r="AN497" s="44"/>
      <c r="AO497" s="44"/>
    </row>
    <row r="498" spans="2:41" ht="15.5">
      <c r="B498" s="125"/>
      <c r="C498" s="126"/>
      <c r="D498" s="126"/>
      <c r="E498" s="127"/>
      <c r="F498" s="128"/>
      <c r="G498" s="126"/>
      <c r="H498" s="127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5"/>
      <c r="X498" s="126"/>
      <c r="Y498" s="126"/>
      <c r="Z498" s="126"/>
      <c r="AA498" s="126"/>
      <c r="AB498" s="126"/>
      <c r="AC498" s="126"/>
      <c r="AD498" s="126"/>
      <c r="AE498" s="127"/>
      <c r="AF498" s="126"/>
      <c r="AG498" s="126"/>
      <c r="AH498" s="127"/>
      <c r="AI498" s="126"/>
      <c r="AJ498" s="127"/>
      <c r="AK498" s="127"/>
      <c r="AL498" s="129"/>
      <c r="AM498" s="129"/>
      <c r="AN498" s="44"/>
      <c r="AO498" s="44"/>
    </row>
    <row r="499" spans="2:41" ht="15.5">
      <c r="B499" s="125"/>
      <c r="C499" s="126"/>
      <c r="D499" s="126"/>
      <c r="E499" s="127"/>
      <c r="F499" s="128"/>
      <c r="G499" s="126"/>
      <c r="H499" s="127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5"/>
      <c r="X499" s="126"/>
      <c r="Y499" s="126"/>
      <c r="Z499" s="126"/>
      <c r="AA499" s="126"/>
      <c r="AB499" s="126"/>
      <c r="AC499" s="126"/>
      <c r="AD499" s="126"/>
      <c r="AE499" s="127"/>
      <c r="AF499" s="126"/>
      <c r="AG499" s="126"/>
      <c r="AH499" s="127"/>
      <c r="AI499" s="126"/>
      <c r="AJ499" s="127"/>
      <c r="AK499" s="127"/>
      <c r="AL499" s="129"/>
      <c r="AM499" s="129"/>
      <c r="AN499" s="44"/>
      <c r="AO499" s="44"/>
    </row>
    <row r="500" spans="2:41" ht="15.5">
      <c r="B500" s="125"/>
      <c r="C500" s="126"/>
      <c r="D500" s="126"/>
      <c r="E500" s="127"/>
      <c r="F500" s="128"/>
      <c r="G500" s="126"/>
      <c r="H500" s="127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5"/>
      <c r="X500" s="126"/>
      <c r="Y500" s="126"/>
      <c r="Z500" s="126"/>
      <c r="AA500" s="126"/>
      <c r="AB500" s="126"/>
      <c r="AC500" s="126"/>
      <c r="AD500" s="126"/>
      <c r="AE500" s="127"/>
      <c r="AF500" s="126"/>
      <c r="AG500" s="126"/>
      <c r="AH500" s="127"/>
      <c r="AI500" s="126"/>
      <c r="AJ500" s="127"/>
      <c r="AK500" s="127"/>
      <c r="AL500" s="129"/>
      <c r="AM500" s="129"/>
      <c r="AN500" s="44"/>
      <c r="AO500" s="44"/>
    </row>
    <row r="501" spans="2:41" ht="15.5">
      <c r="B501" s="125"/>
      <c r="C501" s="126"/>
      <c r="D501" s="126"/>
      <c r="E501" s="127"/>
      <c r="F501" s="128"/>
      <c r="G501" s="126"/>
      <c r="H501" s="127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5"/>
      <c r="X501" s="126"/>
      <c r="Y501" s="126"/>
      <c r="Z501" s="126"/>
      <c r="AA501" s="126"/>
      <c r="AB501" s="126"/>
      <c r="AC501" s="126"/>
      <c r="AD501" s="126"/>
      <c r="AE501" s="127"/>
      <c r="AF501" s="126"/>
      <c r="AG501" s="126"/>
      <c r="AH501" s="127"/>
      <c r="AI501" s="126"/>
      <c r="AJ501" s="127"/>
      <c r="AK501" s="127"/>
      <c r="AL501" s="129"/>
      <c r="AM501" s="129"/>
      <c r="AN501" s="44"/>
      <c r="AO501" s="44"/>
    </row>
    <row r="502" spans="2:41" ht="15.5">
      <c r="B502" s="125"/>
      <c r="C502" s="126"/>
      <c r="D502" s="126"/>
      <c r="E502" s="127"/>
      <c r="F502" s="128"/>
      <c r="G502" s="126"/>
      <c r="H502" s="127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5"/>
      <c r="X502" s="126"/>
      <c r="Y502" s="126"/>
      <c r="Z502" s="126"/>
      <c r="AA502" s="126"/>
      <c r="AB502" s="126"/>
      <c r="AC502" s="126"/>
      <c r="AD502" s="126"/>
      <c r="AE502" s="127"/>
      <c r="AF502" s="126"/>
      <c r="AG502" s="126"/>
      <c r="AH502" s="127"/>
      <c r="AI502" s="126"/>
      <c r="AJ502" s="127"/>
      <c r="AK502" s="127"/>
      <c r="AL502" s="129"/>
      <c r="AM502" s="129"/>
      <c r="AN502" s="44"/>
      <c r="AO502" s="44"/>
    </row>
    <row r="503" spans="2:41" ht="15.5">
      <c r="B503" s="125"/>
      <c r="C503" s="126"/>
      <c r="D503" s="126"/>
      <c r="E503" s="127"/>
      <c r="F503" s="128"/>
      <c r="G503" s="126"/>
      <c r="H503" s="127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5"/>
      <c r="X503" s="126"/>
      <c r="Y503" s="126"/>
      <c r="Z503" s="126"/>
      <c r="AA503" s="126"/>
      <c r="AB503" s="126"/>
      <c r="AC503" s="126"/>
      <c r="AD503" s="126"/>
      <c r="AE503" s="127"/>
      <c r="AF503" s="126"/>
      <c r="AG503" s="126"/>
      <c r="AH503" s="127"/>
      <c r="AI503" s="126"/>
      <c r="AJ503" s="127"/>
      <c r="AK503" s="127"/>
      <c r="AL503" s="129"/>
      <c r="AM503" s="129"/>
      <c r="AN503" s="44"/>
      <c r="AO503" s="44"/>
    </row>
    <row r="504" spans="2:41" ht="15.5">
      <c r="B504" s="125"/>
      <c r="C504" s="126"/>
      <c r="D504" s="126"/>
      <c r="E504" s="127"/>
      <c r="F504" s="128"/>
      <c r="G504" s="126"/>
      <c r="H504" s="127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5"/>
      <c r="X504" s="126"/>
      <c r="Y504" s="126"/>
      <c r="Z504" s="126"/>
      <c r="AA504" s="126"/>
      <c r="AB504" s="126"/>
      <c r="AC504" s="126"/>
      <c r="AD504" s="126"/>
      <c r="AE504" s="127"/>
      <c r="AF504" s="126"/>
      <c r="AG504" s="126"/>
      <c r="AH504" s="127"/>
      <c r="AI504" s="126"/>
      <c r="AJ504" s="127"/>
      <c r="AK504" s="127"/>
      <c r="AL504" s="129"/>
      <c r="AM504" s="129"/>
      <c r="AN504" s="44"/>
      <c r="AO504" s="44"/>
    </row>
    <row r="505" spans="2:41" ht="15.5">
      <c r="B505" s="125"/>
      <c r="C505" s="126"/>
      <c r="D505" s="126"/>
      <c r="E505" s="127"/>
      <c r="F505" s="128"/>
      <c r="G505" s="126"/>
      <c r="H505" s="127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5"/>
      <c r="X505" s="126"/>
      <c r="Y505" s="126"/>
      <c r="Z505" s="126"/>
      <c r="AA505" s="126"/>
      <c r="AB505" s="126"/>
      <c r="AC505" s="126"/>
      <c r="AD505" s="126"/>
      <c r="AE505" s="127"/>
      <c r="AF505" s="126"/>
      <c r="AG505" s="126"/>
      <c r="AH505" s="127"/>
      <c r="AI505" s="126"/>
      <c r="AJ505" s="127"/>
      <c r="AK505" s="127"/>
      <c r="AL505" s="129"/>
      <c r="AM505" s="129"/>
      <c r="AN505" s="44"/>
      <c r="AO505" s="44"/>
    </row>
    <row r="506" spans="2:41" ht="15.5">
      <c r="B506" s="125"/>
      <c r="C506" s="126"/>
      <c r="D506" s="126"/>
      <c r="E506" s="127"/>
      <c r="F506" s="128"/>
      <c r="G506" s="126"/>
      <c r="H506" s="127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5"/>
      <c r="X506" s="126"/>
      <c r="Y506" s="126"/>
      <c r="Z506" s="126"/>
      <c r="AA506" s="126"/>
      <c r="AB506" s="126"/>
      <c r="AC506" s="126"/>
      <c r="AD506" s="126"/>
      <c r="AE506" s="127"/>
      <c r="AF506" s="126"/>
      <c r="AG506" s="126"/>
      <c r="AH506" s="127"/>
      <c r="AI506" s="126"/>
      <c r="AJ506" s="127"/>
      <c r="AK506" s="127"/>
      <c r="AL506" s="129"/>
      <c r="AM506" s="129"/>
      <c r="AN506" s="44"/>
      <c r="AO506" s="44"/>
    </row>
    <row r="507" spans="2:41" ht="15.5">
      <c r="B507" s="125"/>
      <c r="C507" s="126"/>
      <c r="D507" s="126"/>
      <c r="E507" s="127"/>
      <c r="F507" s="128"/>
      <c r="G507" s="126"/>
      <c r="H507" s="127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5"/>
      <c r="X507" s="126"/>
      <c r="Y507" s="126"/>
      <c r="Z507" s="126"/>
      <c r="AA507" s="126"/>
      <c r="AB507" s="126"/>
      <c r="AC507" s="126"/>
      <c r="AD507" s="126"/>
      <c r="AE507" s="127"/>
      <c r="AF507" s="126"/>
      <c r="AG507" s="126"/>
      <c r="AH507" s="127"/>
      <c r="AI507" s="126"/>
      <c r="AJ507" s="127"/>
      <c r="AK507" s="127"/>
      <c r="AL507" s="129"/>
      <c r="AM507" s="129"/>
      <c r="AN507" s="44"/>
      <c r="AO507" s="44"/>
    </row>
    <row r="508" spans="2:41" ht="15.5">
      <c r="B508" s="125"/>
      <c r="C508" s="126"/>
      <c r="D508" s="126"/>
      <c r="E508" s="127"/>
      <c r="F508" s="128"/>
      <c r="G508" s="126"/>
      <c r="H508" s="127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5"/>
      <c r="X508" s="126"/>
      <c r="Y508" s="126"/>
      <c r="Z508" s="126"/>
      <c r="AA508" s="126"/>
      <c r="AB508" s="126"/>
      <c r="AC508" s="126"/>
      <c r="AD508" s="126"/>
      <c r="AE508" s="127"/>
      <c r="AF508" s="126"/>
      <c r="AG508" s="126"/>
      <c r="AH508" s="127"/>
      <c r="AI508" s="126"/>
      <c r="AJ508" s="127"/>
      <c r="AK508" s="127"/>
      <c r="AL508" s="129"/>
      <c r="AM508" s="129"/>
      <c r="AN508" s="44"/>
      <c r="AO508" s="44"/>
    </row>
    <row r="509" spans="2:41" ht="15.5">
      <c r="B509" s="125"/>
      <c r="C509" s="126"/>
      <c r="D509" s="126"/>
      <c r="E509" s="127"/>
      <c r="F509" s="128"/>
      <c r="G509" s="126"/>
      <c r="H509" s="127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5"/>
      <c r="X509" s="126"/>
      <c r="Y509" s="126"/>
      <c r="Z509" s="126"/>
      <c r="AA509" s="126"/>
      <c r="AB509" s="126"/>
      <c r="AC509" s="126"/>
      <c r="AD509" s="126"/>
      <c r="AE509" s="127"/>
      <c r="AF509" s="126"/>
      <c r="AG509" s="126"/>
      <c r="AH509" s="127"/>
      <c r="AI509" s="126"/>
      <c r="AJ509" s="127"/>
      <c r="AK509" s="127"/>
      <c r="AL509" s="129"/>
      <c r="AM509" s="129"/>
      <c r="AN509" s="44"/>
      <c r="AO509" s="44"/>
    </row>
    <row r="510" spans="2:41" ht="15.5">
      <c r="B510" s="125"/>
      <c r="C510" s="126"/>
      <c r="D510" s="126"/>
      <c r="E510" s="127"/>
      <c r="F510" s="128"/>
      <c r="G510" s="126"/>
      <c r="H510" s="127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5"/>
      <c r="X510" s="126"/>
      <c r="Y510" s="126"/>
      <c r="Z510" s="126"/>
      <c r="AA510" s="126"/>
      <c r="AB510" s="126"/>
      <c r="AC510" s="126"/>
      <c r="AD510" s="126"/>
      <c r="AE510" s="127"/>
      <c r="AF510" s="126"/>
      <c r="AG510" s="126"/>
      <c r="AH510" s="127"/>
      <c r="AI510" s="126"/>
      <c r="AJ510" s="127"/>
      <c r="AK510" s="127"/>
      <c r="AL510" s="129"/>
      <c r="AM510" s="129"/>
      <c r="AN510" s="44"/>
      <c r="AO510" s="44"/>
    </row>
    <row r="511" spans="2:41" ht="15.5">
      <c r="B511" s="125"/>
      <c r="C511" s="126"/>
      <c r="D511" s="126"/>
      <c r="E511" s="127"/>
      <c r="F511" s="128"/>
      <c r="G511" s="126"/>
      <c r="H511" s="127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5"/>
      <c r="X511" s="126"/>
      <c r="Y511" s="126"/>
      <c r="Z511" s="126"/>
      <c r="AA511" s="126"/>
      <c r="AB511" s="126"/>
      <c r="AC511" s="126"/>
      <c r="AD511" s="126"/>
      <c r="AE511" s="127"/>
      <c r="AF511" s="126"/>
      <c r="AG511" s="126"/>
      <c r="AH511" s="127"/>
      <c r="AI511" s="126"/>
      <c r="AJ511" s="127"/>
      <c r="AK511" s="127"/>
      <c r="AL511" s="129"/>
      <c r="AM511" s="129"/>
      <c r="AN511" s="44"/>
      <c r="AO511" s="44"/>
    </row>
    <row r="512" spans="2:41" ht="15.5">
      <c r="B512" s="125"/>
      <c r="C512" s="126"/>
      <c r="D512" s="126"/>
      <c r="E512" s="127"/>
      <c r="F512" s="128"/>
      <c r="G512" s="126"/>
      <c r="H512" s="127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5"/>
      <c r="X512" s="126"/>
      <c r="Y512" s="126"/>
      <c r="Z512" s="126"/>
      <c r="AA512" s="126"/>
      <c r="AB512" s="126"/>
      <c r="AC512" s="126"/>
      <c r="AD512" s="126"/>
      <c r="AE512" s="127"/>
      <c r="AF512" s="126"/>
      <c r="AG512" s="126"/>
      <c r="AH512" s="127"/>
      <c r="AI512" s="126"/>
      <c r="AJ512" s="127"/>
      <c r="AK512" s="127"/>
      <c r="AL512" s="129"/>
      <c r="AM512" s="129"/>
      <c r="AN512" s="44"/>
      <c r="AO512" s="44"/>
    </row>
    <row r="513" spans="2:41" ht="15.5">
      <c r="B513" s="125"/>
      <c r="C513" s="126"/>
      <c r="D513" s="126"/>
      <c r="E513" s="127"/>
      <c r="F513" s="128"/>
      <c r="G513" s="126"/>
      <c r="H513" s="127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5"/>
      <c r="X513" s="126"/>
      <c r="Y513" s="126"/>
      <c r="Z513" s="126"/>
      <c r="AA513" s="126"/>
      <c r="AB513" s="126"/>
      <c r="AC513" s="126"/>
      <c r="AD513" s="126"/>
      <c r="AE513" s="127"/>
      <c r="AF513" s="126"/>
      <c r="AG513" s="126"/>
      <c r="AH513" s="127"/>
      <c r="AI513" s="126"/>
      <c r="AJ513" s="127"/>
      <c r="AK513" s="127"/>
      <c r="AL513" s="129"/>
      <c r="AM513" s="129"/>
      <c r="AN513" s="44"/>
      <c r="AO513" s="44"/>
    </row>
    <row r="514" spans="2:41" ht="15.5">
      <c r="B514" s="125"/>
      <c r="C514" s="126"/>
      <c r="D514" s="126"/>
      <c r="E514" s="127"/>
      <c r="F514" s="128"/>
      <c r="G514" s="126"/>
      <c r="H514" s="127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5"/>
      <c r="X514" s="126"/>
      <c r="Y514" s="126"/>
      <c r="Z514" s="126"/>
      <c r="AA514" s="126"/>
      <c r="AB514" s="126"/>
      <c r="AC514" s="126"/>
      <c r="AD514" s="126"/>
      <c r="AE514" s="127"/>
      <c r="AF514" s="126"/>
      <c r="AG514" s="126"/>
      <c r="AH514" s="127"/>
      <c r="AI514" s="126"/>
      <c r="AJ514" s="127"/>
      <c r="AK514" s="127"/>
      <c r="AL514" s="129"/>
      <c r="AM514" s="129"/>
      <c r="AN514" s="44"/>
      <c r="AO514" s="44"/>
    </row>
    <row r="515" spans="2:41" ht="15.5">
      <c r="B515" s="125"/>
      <c r="C515" s="126"/>
      <c r="D515" s="126"/>
      <c r="E515" s="127"/>
      <c r="F515" s="128"/>
      <c r="G515" s="126"/>
      <c r="H515" s="127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5"/>
      <c r="X515" s="126"/>
      <c r="Y515" s="126"/>
      <c r="Z515" s="126"/>
      <c r="AA515" s="126"/>
      <c r="AB515" s="126"/>
      <c r="AC515" s="126"/>
      <c r="AD515" s="126"/>
      <c r="AE515" s="127"/>
      <c r="AF515" s="126"/>
      <c r="AG515" s="126"/>
      <c r="AH515" s="127"/>
      <c r="AI515" s="126"/>
      <c r="AJ515" s="127"/>
      <c r="AK515" s="127"/>
      <c r="AL515" s="129"/>
      <c r="AM515" s="129"/>
      <c r="AN515" s="44"/>
      <c r="AO515" s="44"/>
    </row>
    <row r="516" spans="2:41" ht="15.5">
      <c r="B516" s="125"/>
      <c r="C516" s="126"/>
      <c r="D516" s="126"/>
      <c r="E516" s="127"/>
      <c r="F516" s="128"/>
      <c r="G516" s="126"/>
      <c r="H516" s="127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5"/>
      <c r="X516" s="126"/>
      <c r="Y516" s="126"/>
      <c r="Z516" s="126"/>
      <c r="AA516" s="126"/>
      <c r="AB516" s="126"/>
      <c r="AC516" s="126"/>
      <c r="AD516" s="126"/>
      <c r="AE516" s="127"/>
      <c r="AF516" s="126"/>
      <c r="AG516" s="126"/>
      <c r="AH516" s="127"/>
      <c r="AI516" s="126"/>
      <c r="AJ516" s="127"/>
      <c r="AK516" s="127"/>
      <c r="AL516" s="129"/>
      <c r="AM516" s="129"/>
      <c r="AN516" s="44"/>
      <c r="AO516" s="44"/>
    </row>
    <row r="517" spans="2:41" ht="15.5">
      <c r="B517" s="125"/>
      <c r="C517" s="126"/>
      <c r="D517" s="126"/>
      <c r="E517" s="127"/>
      <c r="F517" s="128"/>
      <c r="G517" s="126"/>
      <c r="H517" s="127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5"/>
      <c r="X517" s="126"/>
      <c r="Y517" s="126"/>
      <c r="Z517" s="126"/>
      <c r="AA517" s="126"/>
      <c r="AB517" s="126"/>
      <c r="AC517" s="126"/>
      <c r="AD517" s="126"/>
      <c r="AE517" s="127"/>
      <c r="AF517" s="126"/>
      <c r="AG517" s="126"/>
      <c r="AH517" s="127"/>
      <c r="AI517" s="126"/>
      <c r="AJ517" s="127"/>
      <c r="AK517" s="127"/>
      <c r="AL517" s="129"/>
      <c r="AM517" s="129"/>
      <c r="AN517" s="44"/>
      <c r="AO517" s="44"/>
    </row>
    <row r="518" spans="2:41" ht="15.5">
      <c r="B518" s="125"/>
      <c r="C518" s="126"/>
      <c r="D518" s="126"/>
      <c r="E518" s="127"/>
      <c r="F518" s="128"/>
      <c r="G518" s="126"/>
      <c r="H518" s="127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5"/>
      <c r="X518" s="126"/>
      <c r="Y518" s="126"/>
      <c r="Z518" s="126"/>
      <c r="AA518" s="126"/>
      <c r="AB518" s="126"/>
      <c r="AC518" s="126"/>
      <c r="AD518" s="126"/>
      <c r="AE518" s="127"/>
      <c r="AF518" s="126"/>
      <c r="AG518" s="126"/>
      <c r="AH518" s="127"/>
      <c r="AI518" s="126"/>
      <c r="AJ518" s="127"/>
      <c r="AK518" s="127"/>
      <c r="AL518" s="129"/>
      <c r="AM518" s="129"/>
      <c r="AN518" s="44"/>
      <c r="AO518" s="44"/>
    </row>
    <row r="519" spans="2:41" ht="15.5">
      <c r="B519" s="125"/>
      <c r="C519" s="126"/>
      <c r="D519" s="126"/>
      <c r="E519" s="127"/>
      <c r="F519" s="128"/>
      <c r="G519" s="126"/>
      <c r="H519" s="127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5"/>
      <c r="X519" s="126"/>
      <c r="Y519" s="126"/>
      <c r="Z519" s="126"/>
      <c r="AA519" s="126"/>
      <c r="AB519" s="126"/>
      <c r="AC519" s="126"/>
      <c r="AD519" s="126"/>
      <c r="AE519" s="127"/>
      <c r="AF519" s="126"/>
      <c r="AG519" s="126"/>
      <c r="AH519" s="127"/>
      <c r="AI519" s="126"/>
      <c r="AJ519" s="127"/>
      <c r="AK519" s="127"/>
      <c r="AL519" s="129"/>
      <c r="AM519" s="129"/>
      <c r="AN519" s="44"/>
      <c r="AO519" s="44"/>
    </row>
    <row r="520" spans="2:41" ht="15.5">
      <c r="B520" s="125"/>
      <c r="C520" s="126"/>
      <c r="D520" s="126"/>
      <c r="E520" s="127"/>
      <c r="F520" s="128"/>
      <c r="G520" s="126"/>
      <c r="H520" s="127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5"/>
      <c r="X520" s="126"/>
      <c r="Y520" s="126"/>
      <c r="Z520" s="126"/>
      <c r="AA520" s="126"/>
      <c r="AB520" s="126"/>
      <c r="AC520" s="126"/>
      <c r="AD520" s="126"/>
      <c r="AE520" s="127"/>
      <c r="AF520" s="126"/>
      <c r="AG520" s="126"/>
      <c r="AH520" s="127"/>
      <c r="AI520" s="126"/>
      <c r="AJ520" s="127"/>
      <c r="AK520" s="127"/>
      <c r="AL520" s="129"/>
      <c r="AM520" s="129"/>
      <c r="AN520" s="44"/>
      <c r="AO520" s="44"/>
    </row>
    <row r="521" spans="2:41" ht="15.5">
      <c r="B521" s="125"/>
      <c r="C521" s="126"/>
      <c r="D521" s="126"/>
      <c r="E521" s="127"/>
      <c r="F521" s="128"/>
      <c r="G521" s="126"/>
      <c r="H521" s="127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5"/>
      <c r="X521" s="126"/>
      <c r="Y521" s="126"/>
      <c r="Z521" s="126"/>
      <c r="AA521" s="126"/>
      <c r="AB521" s="126"/>
      <c r="AC521" s="126"/>
      <c r="AD521" s="126"/>
      <c r="AE521" s="127"/>
      <c r="AF521" s="126"/>
      <c r="AG521" s="126"/>
      <c r="AH521" s="127"/>
      <c r="AI521" s="126"/>
      <c r="AJ521" s="127"/>
      <c r="AK521" s="127"/>
      <c r="AL521" s="129"/>
      <c r="AM521" s="129"/>
      <c r="AN521" s="44"/>
      <c r="AO521" s="44"/>
    </row>
    <row r="522" spans="2:41" ht="15.5">
      <c r="B522" s="125"/>
      <c r="C522" s="126"/>
      <c r="D522" s="126"/>
      <c r="E522" s="127"/>
      <c r="F522" s="128"/>
      <c r="G522" s="126"/>
      <c r="H522" s="127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5"/>
      <c r="X522" s="126"/>
      <c r="Y522" s="126"/>
      <c r="Z522" s="126"/>
      <c r="AA522" s="126"/>
      <c r="AB522" s="126"/>
      <c r="AC522" s="126"/>
      <c r="AD522" s="126"/>
      <c r="AE522" s="127"/>
      <c r="AF522" s="126"/>
      <c r="AG522" s="126"/>
      <c r="AH522" s="127"/>
      <c r="AI522" s="126"/>
      <c r="AJ522" s="127"/>
      <c r="AK522" s="127"/>
      <c r="AL522" s="129"/>
      <c r="AM522" s="129"/>
      <c r="AN522" s="44"/>
      <c r="AO522" s="44"/>
    </row>
    <row r="523" spans="2:41" ht="15.5">
      <c r="B523" s="125"/>
      <c r="C523" s="126"/>
      <c r="D523" s="126"/>
      <c r="E523" s="127"/>
      <c r="F523" s="128"/>
      <c r="G523" s="126"/>
      <c r="H523" s="127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5"/>
      <c r="X523" s="126"/>
      <c r="Y523" s="126"/>
      <c r="Z523" s="126"/>
      <c r="AA523" s="126"/>
      <c r="AB523" s="126"/>
      <c r="AC523" s="126"/>
      <c r="AD523" s="126"/>
      <c r="AE523" s="127"/>
      <c r="AF523" s="126"/>
      <c r="AG523" s="126"/>
      <c r="AH523" s="127"/>
      <c r="AI523" s="126"/>
      <c r="AJ523" s="127"/>
      <c r="AK523" s="127"/>
      <c r="AL523" s="129"/>
      <c r="AM523" s="129"/>
      <c r="AN523" s="44"/>
      <c r="AO523" s="44"/>
    </row>
    <row r="524" spans="2:41" ht="15.5">
      <c r="B524" s="125"/>
      <c r="C524" s="126"/>
      <c r="D524" s="126"/>
      <c r="E524" s="127"/>
      <c r="F524" s="128"/>
      <c r="G524" s="126"/>
      <c r="H524" s="127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5"/>
      <c r="X524" s="126"/>
      <c r="Y524" s="126"/>
      <c r="Z524" s="126"/>
      <c r="AA524" s="126"/>
      <c r="AB524" s="126"/>
      <c r="AC524" s="126"/>
      <c r="AD524" s="126"/>
      <c r="AE524" s="127"/>
      <c r="AF524" s="126"/>
      <c r="AG524" s="126"/>
      <c r="AH524" s="127"/>
      <c r="AI524" s="126"/>
      <c r="AJ524" s="127"/>
      <c r="AK524" s="127"/>
      <c r="AL524" s="129"/>
      <c r="AM524" s="129"/>
      <c r="AN524" s="44"/>
      <c r="AO524" s="44"/>
    </row>
    <row r="525" spans="2:41" ht="15.5">
      <c r="B525" s="125"/>
      <c r="C525" s="126"/>
      <c r="D525" s="126"/>
      <c r="E525" s="127"/>
      <c r="F525" s="128"/>
      <c r="G525" s="126"/>
      <c r="H525" s="127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5"/>
      <c r="X525" s="126"/>
      <c r="Y525" s="126"/>
      <c r="Z525" s="126"/>
      <c r="AA525" s="126"/>
      <c r="AB525" s="126"/>
      <c r="AC525" s="126"/>
      <c r="AD525" s="126"/>
      <c r="AE525" s="127"/>
      <c r="AF525" s="126"/>
      <c r="AG525" s="126"/>
      <c r="AH525" s="127"/>
      <c r="AI525" s="126"/>
      <c r="AJ525" s="127"/>
      <c r="AK525" s="127"/>
      <c r="AL525" s="129"/>
      <c r="AM525" s="129"/>
      <c r="AN525" s="44"/>
      <c r="AO525" s="44"/>
    </row>
    <row r="526" spans="2:41" ht="15.5">
      <c r="B526" s="125"/>
      <c r="C526" s="126"/>
      <c r="D526" s="126"/>
      <c r="E526" s="127"/>
      <c r="F526" s="128"/>
      <c r="G526" s="126"/>
      <c r="H526" s="127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5"/>
      <c r="X526" s="126"/>
      <c r="Y526" s="126"/>
      <c r="Z526" s="126"/>
      <c r="AA526" s="126"/>
      <c r="AB526" s="126"/>
      <c r="AC526" s="126"/>
      <c r="AD526" s="126"/>
      <c r="AE526" s="127"/>
      <c r="AF526" s="126"/>
      <c r="AG526" s="126"/>
      <c r="AH526" s="127"/>
      <c r="AI526" s="126"/>
      <c r="AJ526" s="127"/>
      <c r="AK526" s="127"/>
      <c r="AL526" s="129"/>
      <c r="AM526" s="129"/>
      <c r="AN526" s="44"/>
      <c r="AO526" s="44"/>
    </row>
    <row r="527" spans="2:41" ht="15.5">
      <c r="B527" s="125"/>
      <c r="C527" s="126"/>
      <c r="D527" s="126"/>
      <c r="E527" s="127"/>
      <c r="F527" s="128"/>
      <c r="G527" s="126"/>
      <c r="H527" s="127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5"/>
      <c r="X527" s="126"/>
      <c r="Y527" s="126"/>
      <c r="Z527" s="126"/>
      <c r="AA527" s="126"/>
      <c r="AB527" s="126"/>
      <c r="AC527" s="126"/>
      <c r="AD527" s="126"/>
      <c r="AE527" s="127"/>
      <c r="AF527" s="126"/>
      <c r="AG527" s="126"/>
      <c r="AH527" s="127"/>
      <c r="AI527" s="126"/>
      <c r="AJ527" s="127"/>
      <c r="AK527" s="127"/>
      <c r="AL527" s="129"/>
      <c r="AM527" s="129"/>
      <c r="AN527" s="44"/>
      <c r="AO527" s="44"/>
    </row>
    <row r="528" spans="2:41" ht="15.5">
      <c r="B528" s="125"/>
      <c r="C528" s="126"/>
      <c r="D528" s="126"/>
      <c r="E528" s="127"/>
      <c r="F528" s="128"/>
      <c r="G528" s="126"/>
      <c r="H528" s="127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5"/>
      <c r="X528" s="126"/>
      <c r="Y528" s="126"/>
      <c r="Z528" s="126"/>
      <c r="AA528" s="126"/>
      <c r="AB528" s="126"/>
      <c r="AC528" s="126"/>
      <c r="AD528" s="126"/>
      <c r="AE528" s="127"/>
      <c r="AF528" s="126"/>
      <c r="AG528" s="126"/>
      <c r="AH528" s="127"/>
      <c r="AI528" s="126"/>
      <c r="AJ528" s="127"/>
      <c r="AK528" s="127"/>
      <c r="AL528" s="129"/>
      <c r="AM528" s="129"/>
      <c r="AN528" s="44"/>
      <c r="AO528" s="44"/>
    </row>
    <row r="529" spans="2:41" ht="15.5">
      <c r="B529" s="125"/>
      <c r="C529" s="126"/>
      <c r="D529" s="126"/>
      <c r="E529" s="127"/>
      <c r="F529" s="128"/>
      <c r="G529" s="126"/>
      <c r="H529" s="127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5"/>
      <c r="X529" s="126"/>
      <c r="Y529" s="126"/>
      <c r="Z529" s="126"/>
      <c r="AA529" s="126"/>
      <c r="AB529" s="126"/>
      <c r="AC529" s="126"/>
      <c r="AD529" s="126"/>
      <c r="AE529" s="127"/>
      <c r="AF529" s="126"/>
      <c r="AG529" s="126"/>
      <c r="AH529" s="127"/>
      <c r="AI529" s="126"/>
      <c r="AJ529" s="127"/>
      <c r="AK529" s="127"/>
      <c r="AL529" s="129"/>
      <c r="AM529" s="129"/>
      <c r="AN529" s="44"/>
      <c r="AO529" s="44"/>
    </row>
    <row r="530" spans="2:41" ht="15.5">
      <c r="B530" s="125"/>
      <c r="C530" s="126"/>
      <c r="D530" s="126"/>
      <c r="E530" s="127"/>
      <c r="F530" s="128"/>
      <c r="G530" s="126"/>
      <c r="H530" s="127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5"/>
      <c r="X530" s="126"/>
      <c r="Y530" s="126"/>
      <c r="Z530" s="126"/>
      <c r="AA530" s="126"/>
      <c r="AB530" s="126"/>
      <c r="AC530" s="126"/>
      <c r="AD530" s="126"/>
      <c r="AE530" s="127"/>
      <c r="AF530" s="126"/>
      <c r="AG530" s="126"/>
      <c r="AH530" s="127"/>
      <c r="AI530" s="126"/>
      <c r="AJ530" s="127"/>
      <c r="AK530" s="127"/>
      <c r="AL530" s="129"/>
      <c r="AM530" s="129"/>
      <c r="AN530" s="44"/>
      <c r="AO530" s="44"/>
    </row>
    <row r="531" spans="2:41" ht="15.5">
      <c r="B531" s="125"/>
      <c r="C531" s="126"/>
      <c r="D531" s="126"/>
      <c r="E531" s="127"/>
      <c r="F531" s="128"/>
      <c r="G531" s="126"/>
      <c r="H531" s="127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5"/>
      <c r="X531" s="126"/>
      <c r="Y531" s="126"/>
      <c r="Z531" s="126"/>
      <c r="AA531" s="126"/>
      <c r="AB531" s="126"/>
      <c r="AC531" s="126"/>
      <c r="AD531" s="126"/>
      <c r="AE531" s="127"/>
      <c r="AF531" s="126"/>
      <c r="AG531" s="126"/>
      <c r="AH531" s="127"/>
      <c r="AI531" s="126"/>
      <c r="AJ531" s="127"/>
      <c r="AK531" s="127"/>
      <c r="AL531" s="129"/>
      <c r="AM531" s="129"/>
      <c r="AN531" s="44"/>
      <c r="AO531" s="44"/>
    </row>
    <row r="532" spans="2:41" ht="15.5">
      <c r="B532" s="125"/>
      <c r="C532" s="126"/>
      <c r="D532" s="126"/>
      <c r="E532" s="127"/>
      <c r="F532" s="128"/>
      <c r="G532" s="126"/>
      <c r="H532" s="127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5"/>
      <c r="X532" s="126"/>
      <c r="Y532" s="126"/>
      <c r="Z532" s="126"/>
      <c r="AA532" s="126"/>
      <c r="AB532" s="126"/>
      <c r="AC532" s="126"/>
      <c r="AD532" s="126"/>
      <c r="AE532" s="127"/>
      <c r="AF532" s="126"/>
      <c r="AG532" s="126"/>
      <c r="AH532" s="127"/>
      <c r="AI532" s="126"/>
      <c r="AJ532" s="127"/>
      <c r="AK532" s="127"/>
      <c r="AL532" s="129"/>
      <c r="AM532" s="129"/>
      <c r="AN532" s="44"/>
      <c r="AO532" s="44"/>
    </row>
    <row r="533" spans="2:41" ht="15.5">
      <c r="B533" s="125"/>
      <c r="C533" s="126"/>
      <c r="D533" s="126"/>
      <c r="E533" s="127"/>
      <c r="F533" s="128"/>
      <c r="G533" s="126"/>
      <c r="H533" s="127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5"/>
      <c r="X533" s="126"/>
      <c r="Y533" s="126"/>
      <c r="Z533" s="126"/>
      <c r="AA533" s="126"/>
      <c r="AB533" s="126"/>
      <c r="AC533" s="126"/>
      <c r="AD533" s="126"/>
      <c r="AE533" s="127"/>
      <c r="AF533" s="126"/>
      <c r="AG533" s="126"/>
      <c r="AH533" s="127"/>
      <c r="AI533" s="126"/>
      <c r="AJ533" s="127"/>
      <c r="AK533" s="127"/>
      <c r="AL533" s="129"/>
      <c r="AM533" s="129"/>
      <c r="AN533" s="44"/>
      <c r="AO533" s="44"/>
    </row>
    <row r="534" spans="2:41" ht="15.5">
      <c r="B534" s="125"/>
      <c r="C534" s="126"/>
      <c r="D534" s="126"/>
      <c r="E534" s="127"/>
      <c r="F534" s="128"/>
      <c r="G534" s="126"/>
      <c r="H534" s="127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5"/>
      <c r="X534" s="126"/>
      <c r="Y534" s="126"/>
      <c r="Z534" s="126"/>
      <c r="AA534" s="126"/>
      <c r="AB534" s="126"/>
      <c r="AC534" s="126"/>
      <c r="AD534" s="126"/>
      <c r="AE534" s="127"/>
      <c r="AF534" s="126"/>
      <c r="AG534" s="126"/>
      <c r="AH534" s="127"/>
      <c r="AI534" s="126"/>
      <c r="AJ534" s="127"/>
      <c r="AK534" s="127"/>
      <c r="AL534" s="129"/>
      <c r="AM534" s="129"/>
      <c r="AN534" s="44"/>
      <c r="AO534" s="44"/>
    </row>
    <row r="535" spans="2:41" ht="15.5">
      <c r="B535" s="125"/>
      <c r="C535" s="126"/>
      <c r="D535" s="126"/>
      <c r="E535" s="127"/>
      <c r="F535" s="128"/>
      <c r="G535" s="126"/>
      <c r="H535" s="127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5"/>
      <c r="X535" s="126"/>
      <c r="Y535" s="126"/>
      <c r="Z535" s="126"/>
      <c r="AA535" s="126"/>
      <c r="AB535" s="126"/>
      <c r="AC535" s="126"/>
      <c r="AD535" s="126"/>
      <c r="AE535" s="127"/>
      <c r="AF535" s="126"/>
      <c r="AG535" s="126"/>
      <c r="AH535" s="127"/>
      <c r="AI535" s="126"/>
      <c r="AJ535" s="127"/>
      <c r="AK535" s="127"/>
      <c r="AL535" s="129"/>
      <c r="AM535" s="129"/>
      <c r="AN535" s="44"/>
      <c r="AO535" s="44"/>
    </row>
    <row r="536" spans="2:41" ht="15.5">
      <c r="B536" s="125"/>
      <c r="C536" s="126"/>
      <c r="D536" s="126"/>
      <c r="E536" s="127"/>
      <c r="F536" s="128"/>
      <c r="G536" s="126"/>
      <c r="H536" s="127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5"/>
      <c r="X536" s="126"/>
      <c r="Y536" s="126"/>
      <c r="Z536" s="126"/>
      <c r="AA536" s="126"/>
      <c r="AB536" s="126"/>
      <c r="AC536" s="126"/>
      <c r="AD536" s="126"/>
      <c r="AE536" s="127"/>
      <c r="AF536" s="126"/>
      <c r="AG536" s="126"/>
      <c r="AH536" s="127"/>
      <c r="AI536" s="126"/>
      <c r="AJ536" s="127"/>
      <c r="AK536" s="127"/>
      <c r="AL536" s="129"/>
      <c r="AM536" s="129"/>
      <c r="AN536" s="44"/>
      <c r="AO536" s="44"/>
    </row>
    <row r="537" spans="2:41" ht="15.5">
      <c r="B537" s="125"/>
      <c r="C537" s="126"/>
      <c r="D537" s="126"/>
      <c r="E537" s="127"/>
      <c r="F537" s="128"/>
      <c r="G537" s="126"/>
      <c r="H537" s="127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5"/>
      <c r="X537" s="126"/>
      <c r="Y537" s="126"/>
      <c r="Z537" s="126"/>
      <c r="AA537" s="126"/>
      <c r="AB537" s="126"/>
      <c r="AC537" s="126"/>
      <c r="AD537" s="126"/>
      <c r="AE537" s="127"/>
      <c r="AF537" s="126"/>
      <c r="AG537" s="126"/>
      <c r="AH537" s="127"/>
      <c r="AI537" s="126"/>
      <c r="AJ537" s="127"/>
      <c r="AK537" s="127"/>
      <c r="AL537" s="129"/>
      <c r="AM537" s="129"/>
      <c r="AN537" s="44"/>
      <c r="AO537" s="44"/>
    </row>
    <row r="538" spans="2:41" ht="15.5">
      <c r="B538" s="125"/>
      <c r="C538" s="126"/>
      <c r="D538" s="126"/>
      <c r="E538" s="127"/>
      <c r="F538" s="128"/>
      <c r="G538" s="126"/>
      <c r="H538" s="127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5"/>
      <c r="X538" s="126"/>
      <c r="Y538" s="126"/>
      <c r="Z538" s="126"/>
      <c r="AA538" s="126"/>
      <c r="AB538" s="126"/>
      <c r="AC538" s="126"/>
      <c r="AD538" s="126"/>
      <c r="AE538" s="127"/>
      <c r="AF538" s="126"/>
      <c r="AG538" s="126"/>
      <c r="AH538" s="127"/>
      <c r="AI538" s="126"/>
      <c r="AJ538" s="127"/>
      <c r="AK538" s="127"/>
      <c r="AL538" s="129"/>
      <c r="AM538" s="129"/>
      <c r="AN538" s="44"/>
      <c r="AO538" s="44"/>
    </row>
    <row r="539" spans="2:41" ht="15.5">
      <c r="B539" s="125"/>
      <c r="C539" s="126"/>
      <c r="D539" s="126"/>
      <c r="E539" s="127"/>
      <c r="F539" s="128"/>
      <c r="G539" s="126"/>
      <c r="H539" s="127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5"/>
      <c r="X539" s="126"/>
      <c r="Y539" s="126"/>
      <c r="Z539" s="126"/>
      <c r="AA539" s="126"/>
      <c r="AB539" s="126"/>
      <c r="AC539" s="126"/>
      <c r="AD539" s="126"/>
      <c r="AE539" s="127"/>
      <c r="AF539" s="126"/>
      <c r="AG539" s="126"/>
      <c r="AH539" s="127"/>
      <c r="AI539" s="126"/>
      <c r="AJ539" s="127"/>
      <c r="AK539" s="127"/>
      <c r="AL539" s="129"/>
      <c r="AM539" s="129"/>
      <c r="AN539" s="44"/>
      <c r="AO539" s="44"/>
    </row>
    <row r="540" spans="2:41" ht="15.5">
      <c r="B540" s="125"/>
      <c r="C540" s="126"/>
      <c r="D540" s="126"/>
      <c r="E540" s="127"/>
      <c r="F540" s="128"/>
      <c r="G540" s="126"/>
      <c r="H540" s="127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5"/>
      <c r="X540" s="126"/>
      <c r="Y540" s="126"/>
      <c r="Z540" s="126"/>
      <c r="AA540" s="126"/>
      <c r="AB540" s="126"/>
      <c r="AC540" s="126"/>
      <c r="AD540" s="126"/>
      <c r="AE540" s="127"/>
      <c r="AF540" s="126"/>
      <c r="AG540" s="126"/>
      <c r="AH540" s="127"/>
      <c r="AI540" s="126"/>
      <c r="AJ540" s="127"/>
      <c r="AK540" s="127"/>
      <c r="AL540" s="129"/>
      <c r="AM540" s="129"/>
      <c r="AN540" s="44"/>
      <c r="AO540" s="44"/>
    </row>
    <row r="541" spans="2:41" ht="15.5">
      <c r="B541" s="125"/>
      <c r="C541" s="126"/>
      <c r="D541" s="126"/>
      <c r="E541" s="127"/>
      <c r="F541" s="128"/>
      <c r="G541" s="126"/>
      <c r="H541" s="127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5"/>
      <c r="X541" s="126"/>
      <c r="Y541" s="126"/>
      <c r="Z541" s="126"/>
      <c r="AA541" s="126"/>
      <c r="AB541" s="126"/>
      <c r="AC541" s="126"/>
      <c r="AD541" s="126"/>
      <c r="AE541" s="127"/>
      <c r="AF541" s="126"/>
      <c r="AG541" s="126"/>
      <c r="AH541" s="127"/>
      <c r="AI541" s="126"/>
      <c r="AJ541" s="127"/>
      <c r="AK541" s="127"/>
      <c r="AL541" s="129"/>
      <c r="AM541" s="129"/>
      <c r="AN541" s="44"/>
      <c r="AO541" s="44"/>
    </row>
    <row r="542" spans="2:41" ht="15.5">
      <c r="B542" s="125"/>
      <c r="C542" s="126"/>
      <c r="D542" s="126"/>
      <c r="E542" s="127"/>
      <c r="F542" s="128"/>
      <c r="G542" s="126"/>
      <c r="H542" s="127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5"/>
      <c r="X542" s="126"/>
      <c r="Y542" s="126"/>
      <c r="Z542" s="126"/>
      <c r="AA542" s="126"/>
      <c r="AB542" s="126"/>
      <c r="AC542" s="126"/>
      <c r="AD542" s="126"/>
      <c r="AE542" s="127"/>
      <c r="AF542" s="126"/>
      <c r="AG542" s="126"/>
      <c r="AH542" s="127"/>
      <c r="AI542" s="126"/>
      <c r="AJ542" s="127"/>
      <c r="AK542" s="127"/>
      <c r="AL542" s="129"/>
      <c r="AM542" s="129"/>
      <c r="AN542" s="44"/>
      <c r="AO542" s="44"/>
    </row>
    <row r="543" spans="2:41" ht="15.5">
      <c r="B543" s="125"/>
      <c r="C543" s="126"/>
      <c r="D543" s="126"/>
      <c r="E543" s="127"/>
      <c r="F543" s="128"/>
      <c r="G543" s="126"/>
      <c r="H543" s="127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5"/>
      <c r="X543" s="126"/>
      <c r="Y543" s="126"/>
      <c r="Z543" s="126"/>
      <c r="AA543" s="126"/>
      <c r="AB543" s="126"/>
      <c r="AC543" s="126"/>
      <c r="AD543" s="126"/>
      <c r="AE543" s="127"/>
      <c r="AF543" s="126"/>
      <c r="AG543" s="126"/>
      <c r="AH543" s="127"/>
      <c r="AI543" s="126"/>
      <c r="AJ543" s="127"/>
      <c r="AK543" s="127"/>
      <c r="AL543" s="129"/>
      <c r="AM543" s="129"/>
      <c r="AN543" s="44"/>
      <c r="AO543" s="44"/>
    </row>
    <row r="544" spans="2:41" ht="15.5">
      <c r="B544" s="125"/>
      <c r="C544" s="126"/>
      <c r="D544" s="126"/>
      <c r="E544" s="127"/>
      <c r="F544" s="128"/>
      <c r="G544" s="126"/>
      <c r="H544" s="127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5"/>
      <c r="X544" s="126"/>
      <c r="Y544" s="126"/>
      <c r="Z544" s="126"/>
      <c r="AA544" s="126"/>
      <c r="AB544" s="126"/>
      <c r="AC544" s="126"/>
      <c r="AD544" s="126"/>
      <c r="AE544" s="127"/>
      <c r="AF544" s="126"/>
      <c r="AG544" s="126"/>
      <c r="AH544" s="127"/>
      <c r="AI544" s="126"/>
      <c r="AJ544" s="127"/>
      <c r="AK544" s="127"/>
      <c r="AL544" s="129"/>
      <c r="AM544" s="129"/>
      <c r="AN544" s="44"/>
      <c r="AO544" s="44"/>
    </row>
    <row r="545" spans="2:41" ht="15.5">
      <c r="B545" s="125"/>
      <c r="C545" s="126"/>
      <c r="D545" s="126"/>
      <c r="E545" s="127"/>
      <c r="F545" s="128"/>
      <c r="G545" s="126"/>
      <c r="H545" s="127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5"/>
      <c r="X545" s="126"/>
      <c r="Y545" s="126"/>
      <c r="Z545" s="126"/>
      <c r="AA545" s="126"/>
      <c r="AB545" s="126"/>
      <c r="AC545" s="126"/>
      <c r="AD545" s="126"/>
      <c r="AE545" s="127"/>
      <c r="AF545" s="126"/>
      <c r="AG545" s="126"/>
      <c r="AH545" s="127"/>
      <c r="AI545" s="126"/>
      <c r="AJ545" s="127"/>
      <c r="AK545" s="127"/>
      <c r="AL545" s="129"/>
      <c r="AM545" s="129"/>
      <c r="AN545" s="44"/>
      <c r="AO545" s="44"/>
    </row>
    <row r="546" spans="2:41" ht="15.5">
      <c r="B546" s="125"/>
      <c r="C546" s="126"/>
      <c r="D546" s="126"/>
      <c r="E546" s="127"/>
      <c r="F546" s="128"/>
      <c r="G546" s="126"/>
      <c r="H546" s="127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5"/>
      <c r="X546" s="126"/>
      <c r="Y546" s="126"/>
      <c r="Z546" s="126"/>
      <c r="AA546" s="126"/>
      <c r="AB546" s="126"/>
      <c r="AC546" s="126"/>
      <c r="AD546" s="126"/>
      <c r="AE546" s="127"/>
      <c r="AF546" s="126"/>
      <c r="AG546" s="126"/>
      <c r="AH546" s="127"/>
      <c r="AI546" s="126"/>
      <c r="AJ546" s="127"/>
      <c r="AK546" s="127"/>
      <c r="AL546" s="129"/>
      <c r="AM546" s="129"/>
      <c r="AN546" s="44"/>
      <c r="AO546" s="44"/>
    </row>
    <row r="547" spans="2:41" ht="15.5">
      <c r="B547" s="125"/>
      <c r="C547" s="126"/>
      <c r="D547" s="126"/>
      <c r="E547" s="127"/>
      <c r="F547" s="128"/>
      <c r="G547" s="126"/>
      <c r="H547" s="127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5"/>
      <c r="X547" s="126"/>
      <c r="Y547" s="126"/>
      <c r="Z547" s="126"/>
      <c r="AA547" s="126"/>
      <c r="AB547" s="126"/>
      <c r="AC547" s="126"/>
      <c r="AD547" s="126"/>
      <c r="AE547" s="127"/>
      <c r="AF547" s="126"/>
      <c r="AG547" s="126"/>
      <c r="AH547" s="127"/>
      <c r="AI547" s="126"/>
      <c r="AJ547" s="127"/>
      <c r="AK547" s="127"/>
      <c r="AL547" s="129"/>
      <c r="AM547" s="129"/>
      <c r="AN547" s="44"/>
      <c r="AO547" s="44"/>
    </row>
    <row r="548" spans="2:41" ht="15.5">
      <c r="B548" s="125"/>
      <c r="C548" s="126"/>
      <c r="D548" s="126"/>
      <c r="E548" s="127"/>
      <c r="F548" s="128"/>
      <c r="G548" s="126"/>
      <c r="H548" s="127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5"/>
      <c r="X548" s="126"/>
      <c r="Y548" s="126"/>
      <c r="Z548" s="126"/>
      <c r="AA548" s="126"/>
      <c r="AB548" s="126"/>
      <c r="AC548" s="126"/>
      <c r="AD548" s="126"/>
      <c r="AE548" s="127"/>
      <c r="AF548" s="126"/>
      <c r="AG548" s="126"/>
      <c r="AH548" s="127"/>
      <c r="AI548" s="126"/>
      <c r="AJ548" s="127"/>
      <c r="AK548" s="127"/>
      <c r="AL548" s="129"/>
      <c r="AM548" s="129"/>
      <c r="AN548" s="44"/>
      <c r="AO548" s="44"/>
    </row>
    <row r="549" spans="2:41" ht="15.5">
      <c r="B549" s="125"/>
      <c r="C549" s="126"/>
      <c r="D549" s="126"/>
      <c r="E549" s="127"/>
      <c r="F549" s="128"/>
      <c r="G549" s="126"/>
      <c r="H549" s="127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5"/>
      <c r="X549" s="126"/>
      <c r="Y549" s="126"/>
      <c r="Z549" s="126"/>
      <c r="AA549" s="126"/>
      <c r="AB549" s="126"/>
      <c r="AC549" s="126"/>
      <c r="AD549" s="126"/>
      <c r="AE549" s="127"/>
      <c r="AF549" s="126"/>
      <c r="AG549" s="126"/>
      <c r="AH549" s="127"/>
      <c r="AI549" s="126"/>
      <c r="AJ549" s="127"/>
      <c r="AK549" s="127"/>
      <c r="AL549" s="129"/>
      <c r="AM549" s="129"/>
      <c r="AN549" s="44"/>
      <c r="AO549" s="44"/>
    </row>
    <row r="550" spans="2:41" ht="15.5">
      <c r="B550" s="125"/>
      <c r="C550" s="126"/>
      <c r="D550" s="126"/>
      <c r="E550" s="127"/>
      <c r="F550" s="128"/>
      <c r="G550" s="126"/>
      <c r="H550" s="127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5"/>
      <c r="X550" s="126"/>
      <c r="Y550" s="126"/>
      <c r="Z550" s="126"/>
      <c r="AA550" s="126"/>
      <c r="AB550" s="126"/>
      <c r="AC550" s="126"/>
      <c r="AD550" s="126"/>
      <c r="AE550" s="127"/>
      <c r="AF550" s="126"/>
      <c r="AG550" s="126"/>
      <c r="AH550" s="127"/>
      <c r="AI550" s="126"/>
      <c r="AJ550" s="127"/>
      <c r="AK550" s="127"/>
      <c r="AL550" s="129"/>
      <c r="AM550" s="129"/>
      <c r="AN550" s="44"/>
      <c r="AO550" s="44"/>
    </row>
    <row r="551" spans="2:41" ht="15.5">
      <c r="B551" s="125"/>
      <c r="C551" s="126"/>
      <c r="D551" s="126"/>
      <c r="E551" s="127"/>
      <c r="F551" s="128"/>
      <c r="G551" s="126"/>
      <c r="H551" s="127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5"/>
      <c r="X551" s="126"/>
      <c r="Y551" s="126"/>
      <c r="Z551" s="126"/>
      <c r="AA551" s="126"/>
      <c r="AB551" s="126"/>
      <c r="AC551" s="126"/>
      <c r="AD551" s="126"/>
      <c r="AE551" s="127"/>
      <c r="AF551" s="126"/>
      <c r="AG551" s="126"/>
      <c r="AH551" s="127"/>
      <c r="AI551" s="126"/>
      <c r="AJ551" s="127"/>
      <c r="AK551" s="127"/>
      <c r="AL551" s="129"/>
      <c r="AM551" s="129"/>
      <c r="AN551" s="44"/>
      <c r="AO551" s="44"/>
    </row>
    <row r="552" spans="2:41" ht="15.5">
      <c r="B552" s="125"/>
      <c r="C552" s="126"/>
      <c r="D552" s="126"/>
      <c r="E552" s="127"/>
      <c r="F552" s="128"/>
      <c r="G552" s="126"/>
      <c r="H552" s="127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5"/>
      <c r="X552" s="126"/>
      <c r="Y552" s="126"/>
      <c r="Z552" s="126"/>
      <c r="AA552" s="126"/>
      <c r="AB552" s="126"/>
      <c r="AC552" s="126"/>
      <c r="AD552" s="126"/>
      <c r="AE552" s="127"/>
      <c r="AF552" s="126"/>
      <c r="AG552" s="126"/>
      <c r="AH552" s="127"/>
      <c r="AI552" s="126"/>
      <c r="AJ552" s="127"/>
      <c r="AK552" s="127"/>
      <c r="AL552" s="129"/>
      <c r="AM552" s="129"/>
      <c r="AN552" s="44"/>
      <c r="AO552" s="44"/>
    </row>
    <row r="553" spans="2:41" ht="15.5">
      <c r="B553" s="125"/>
      <c r="C553" s="126"/>
      <c r="D553" s="126"/>
      <c r="E553" s="127"/>
      <c r="F553" s="128"/>
      <c r="G553" s="126"/>
      <c r="H553" s="127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5"/>
      <c r="X553" s="126"/>
      <c r="Y553" s="126"/>
      <c r="Z553" s="126"/>
      <c r="AA553" s="126"/>
      <c r="AB553" s="126"/>
      <c r="AC553" s="126"/>
      <c r="AD553" s="126"/>
      <c r="AE553" s="127"/>
      <c r="AF553" s="126"/>
      <c r="AG553" s="126"/>
      <c r="AH553" s="127"/>
      <c r="AI553" s="126"/>
      <c r="AJ553" s="127"/>
      <c r="AK553" s="127"/>
      <c r="AL553" s="129"/>
      <c r="AM553" s="129"/>
      <c r="AN553" s="44"/>
      <c r="AO553" s="44"/>
    </row>
    <row r="554" spans="2:41" ht="15.5">
      <c r="B554" s="125"/>
      <c r="C554" s="126"/>
      <c r="D554" s="126"/>
      <c r="E554" s="127"/>
      <c r="F554" s="128"/>
      <c r="G554" s="126"/>
      <c r="H554" s="127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5"/>
      <c r="X554" s="126"/>
      <c r="Y554" s="126"/>
      <c r="Z554" s="126"/>
      <c r="AA554" s="126"/>
      <c r="AB554" s="126"/>
      <c r="AC554" s="126"/>
      <c r="AD554" s="126"/>
      <c r="AE554" s="127"/>
      <c r="AF554" s="126"/>
      <c r="AG554" s="126"/>
      <c r="AH554" s="127"/>
      <c r="AI554" s="126"/>
      <c r="AJ554" s="127"/>
      <c r="AK554" s="127"/>
      <c r="AL554" s="129"/>
      <c r="AM554" s="129"/>
      <c r="AN554" s="44"/>
      <c r="AO554" s="44"/>
    </row>
    <row r="555" spans="2:41" ht="15.5">
      <c r="B555" s="125"/>
      <c r="C555" s="126"/>
      <c r="D555" s="126"/>
      <c r="E555" s="127"/>
      <c r="F555" s="128"/>
      <c r="G555" s="126"/>
      <c r="H555" s="127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5"/>
      <c r="X555" s="126"/>
      <c r="Y555" s="126"/>
      <c r="Z555" s="126"/>
      <c r="AA555" s="126"/>
      <c r="AB555" s="126"/>
      <c r="AC555" s="126"/>
      <c r="AD555" s="126"/>
      <c r="AE555" s="127"/>
      <c r="AF555" s="126"/>
      <c r="AG555" s="126"/>
      <c r="AH555" s="127"/>
      <c r="AI555" s="126"/>
      <c r="AJ555" s="127"/>
      <c r="AK555" s="127"/>
      <c r="AL555" s="129"/>
      <c r="AM555" s="129"/>
      <c r="AN555" s="44"/>
      <c r="AO555" s="44"/>
    </row>
    <row r="556" spans="2:41" ht="15.5">
      <c r="B556" s="125"/>
      <c r="C556" s="126"/>
      <c r="D556" s="126"/>
      <c r="E556" s="127"/>
      <c r="F556" s="128"/>
      <c r="G556" s="126"/>
      <c r="H556" s="127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5"/>
      <c r="X556" s="126"/>
      <c r="Y556" s="126"/>
      <c r="Z556" s="126"/>
      <c r="AA556" s="126"/>
      <c r="AB556" s="126"/>
      <c r="AC556" s="126"/>
      <c r="AD556" s="126"/>
      <c r="AE556" s="127"/>
      <c r="AF556" s="126"/>
      <c r="AG556" s="126"/>
      <c r="AH556" s="127"/>
      <c r="AI556" s="126"/>
      <c r="AJ556" s="127"/>
      <c r="AK556" s="127"/>
      <c r="AL556" s="129"/>
      <c r="AM556" s="129"/>
      <c r="AN556" s="44"/>
      <c r="AO556" s="44"/>
    </row>
    <row r="557" spans="2:41" ht="15.5">
      <c r="B557" s="125"/>
      <c r="C557" s="126"/>
      <c r="D557" s="126"/>
      <c r="E557" s="127"/>
      <c r="F557" s="128"/>
      <c r="G557" s="126"/>
      <c r="H557" s="127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5"/>
      <c r="X557" s="126"/>
      <c r="Y557" s="126"/>
      <c r="Z557" s="126"/>
      <c r="AA557" s="126"/>
      <c r="AB557" s="126"/>
      <c r="AC557" s="126"/>
      <c r="AD557" s="126"/>
      <c r="AE557" s="127"/>
      <c r="AF557" s="126"/>
      <c r="AG557" s="126"/>
      <c r="AH557" s="127"/>
      <c r="AI557" s="126"/>
      <c r="AJ557" s="127"/>
      <c r="AK557" s="127"/>
      <c r="AL557" s="129"/>
      <c r="AM557" s="129"/>
      <c r="AN557" s="44"/>
      <c r="AO557" s="44"/>
    </row>
    <row r="558" spans="2:41" ht="15.5">
      <c r="B558" s="125"/>
      <c r="C558" s="126"/>
      <c r="D558" s="126"/>
      <c r="E558" s="127"/>
      <c r="F558" s="128"/>
      <c r="G558" s="126"/>
      <c r="H558" s="127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5"/>
      <c r="X558" s="126"/>
      <c r="Y558" s="126"/>
      <c r="Z558" s="126"/>
      <c r="AA558" s="126"/>
      <c r="AB558" s="126"/>
      <c r="AC558" s="126"/>
      <c r="AD558" s="126"/>
      <c r="AE558" s="127"/>
      <c r="AF558" s="126"/>
      <c r="AG558" s="126"/>
      <c r="AH558" s="127"/>
      <c r="AI558" s="126"/>
      <c r="AJ558" s="127"/>
      <c r="AK558" s="127"/>
      <c r="AL558" s="129"/>
      <c r="AM558" s="129"/>
      <c r="AN558" s="44"/>
      <c r="AO558" s="44"/>
    </row>
    <row r="559" spans="2:41" ht="15.5">
      <c r="B559" s="125"/>
      <c r="C559" s="126"/>
      <c r="D559" s="126"/>
      <c r="E559" s="127"/>
      <c r="F559" s="128"/>
      <c r="G559" s="126"/>
      <c r="H559" s="127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5"/>
      <c r="X559" s="126"/>
      <c r="Y559" s="126"/>
      <c r="Z559" s="126"/>
      <c r="AA559" s="126"/>
      <c r="AB559" s="126"/>
      <c r="AC559" s="126"/>
      <c r="AD559" s="126"/>
      <c r="AE559" s="127"/>
      <c r="AF559" s="126"/>
      <c r="AG559" s="126"/>
      <c r="AH559" s="127"/>
      <c r="AI559" s="126"/>
      <c r="AJ559" s="127"/>
      <c r="AK559" s="127"/>
      <c r="AL559" s="129"/>
      <c r="AM559" s="129"/>
      <c r="AN559" s="44"/>
      <c r="AO559" s="44"/>
    </row>
    <row r="560" spans="2:41" ht="15.5">
      <c r="B560" s="125"/>
      <c r="C560" s="126"/>
      <c r="D560" s="126"/>
      <c r="E560" s="127"/>
      <c r="F560" s="128"/>
      <c r="G560" s="126"/>
      <c r="H560" s="127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5"/>
      <c r="X560" s="126"/>
      <c r="Y560" s="126"/>
      <c r="Z560" s="126"/>
      <c r="AA560" s="126"/>
      <c r="AB560" s="126"/>
      <c r="AC560" s="126"/>
      <c r="AD560" s="126"/>
      <c r="AE560" s="127"/>
      <c r="AF560" s="126"/>
      <c r="AG560" s="126"/>
      <c r="AH560" s="127"/>
      <c r="AI560" s="126"/>
      <c r="AJ560" s="127"/>
      <c r="AK560" s="127"/>
      <c r="AL560" s="129"/>
      <c r="AM560" s="129"/>
      <c r="AN560" s="44"/>
      <c r="AO560" s="44"/>
    </row>
    <row r="561" spans="2:41" ht="15.5">
      <c r="B561" s="125"/>
      <c r="C561" s="126"/>
      <c r="D561" s="126"/>
      <c r="E561" s="127"/>
      <c r="F561" s="128"/>
      <c r="G561" s="126"/>
      <c r="H561" s="127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5"/>
      <c r="X561" s="126"/>
      <c r="Y561" s="126"/>
      <c r="Z561" s="126"/>
      <c r="AA561" s="126"/>
      <c r="AB561" s="126"/>
      <c r="AC561" s="126"/>
      <c r="AD561" s="126"/>
      <c r="AE561" s="127"/>
      <c r="AF561" s="126"/>
      <c r="AG561" s="126"/>
      <c r="AH561" s="127"/>
      <c r="AI561" s="126"/>
      <c r="AJ561" s="127"/>
      <c r="AK561" s="127"/>
      <c r="AL561" s="129"/>
      <c r="AM561" s="129"/>
      <c r="AN561" s="44"/>
      <c r="AO561" s="44"/>
    </row>
    <row r="562" spans="2:41" ht="15.5">
      <c r="B562" s="125"/>
      <c r="C562" s="126"/>
      <c r="D562" s="126"/>
      <c r="E562" s="127"/>
      <c r="F562" s="128"/>
      <c r="G562" s="126"/>
      <c r="H562" s="127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5"/>
      <c r="X562" s="126"/>
      <c r="Y562" s="126"/>
      <c r="Z562" s="126"/>
      <c r="AA562" s="126"/>
      <c r="AB562" s="126"/>
      <c r="AC562" s="126"/>
      <c r="AD562" s="126"/>
      <c r="AE562" s="127"/>
      <c r="AF562" s="126"/>
      <c r="AG562" s="126"/>
      <c r="AH562" s="127"/>
      <c r="AI562" s="126"/>
      <c r="AJ562" s="127"/>
      <c r="AK562" s="127"/>
      <c r="AL562" s="129"/>
      <c r="AM562" s="129"/>
      <c r="AN562" s="44"/>
      <c r="AO562" s="44"/>
    </row>
    <row r="563" spans="2:41" ht="15.5">
      <c r="B563" s="125"/>
      <c r="C563" s="126"/>
      <c r="D563" s="126"/>
      <c r="E563" s="127"/>
      <c r="F563" s="128"/>
      <c r="G563" s="126"/>
      <c r="H563" s="127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5"/>
      <c r="X563" s="126"/>
      <c r="Y563" s="126"/>
      <c r="Z563" s="126"/>
      <c r="AA563" s="126"/>
      <c r="AB563" s="126"/>
      <c r="AC563" s="126"/>
      <c r="AD563" s="126"/>
      <c r="AE563" s="127"/>
      <c r="AF563" s="126"/>
      <c r="AG563" s="126"/>
      <c r="AH563" s="127"/>
      <c r="AI563" s="126"/>
      <c r="AJ563" s="127"/>
      <c r="AK563" s="127"/>
      <c r="AL563" s="129"/>
      <c r="AM563" s="129"/>
      <c r="AN563" s="44"/>
      <c r="AO563" s="44"/>
    </row>
    <row r="564" spans="2:41" ht="15.5">
      <c r="B564" s="125"/>
      <c r="C564" s="126"/>
      <c r="D564" s="126"/>
      <c r="E564" s="127"/>
      <c r="F564" s="128"/>
      <c r="G564" s="126"/>
      <c r="H564" s="127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5"/>
      <c r="X564" s="126"/>
      <c r="Y564" s="126"/>
      <c r="Z564" s="126"/>
      <c r="AA564" s="126"/>
      <c r="AB564" s="126"/>
      <c r="AC564" s="126"/>
      <c r="AD564" s="126"/>
      <c r="AE564" s="127"/>
      <c r="AF564" s="126"/>
      <c r="AG564" s="126"/>
      <c r="AH564" s="127"/>
      <c r="AI564" s="126"/>
      <c r="AJ564" s="127"/>
      <c r="AK564" s="127"/>
      <c r="AL564" s="129"/>
      <c r="AM564" s="129"/>
      <c r="AN564" s="44"/>
      <c r="AO564" s="44"/>
    </row>
    <row r="565" spans="2:41" ht="15.5">
      <c r="B565" s="125"/>
      <c r="C565" s="126"/>
      <c r="D565" s="126"/>
      <c r="E565" s="127"/>
      <c r="F565" s="128"/>
      <c r="G565" s="126"/>
      <c r="H565" s="127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5"/>
      <c r="X565" s="126"/>
      <c r="Y565" s="126"/>
      <c r="Z565" s="126"/>
      <c r="AA565" s="126"/>
      <c r="AB565" s="126"/>
      <c r="AC565" s="126"/>
      <c r="AD565" s="126"/>
      <c r="AE565" s="127"/>
      <c r="AF565" s="126"/>
      <c r="AG565" s="126"/>
      <c r="AH565" s="127"/>
      <c r="AI565" s="126"/>
      <c r="AJ565" s="127"/>
      <c r="AK565" s="127"/>
      <c r="AL565" s="129"/>
      <c r="AM565" s="129"/>
      <c r="AN565" s="44"/>
      <c r="AO565" s="44"/>
    </row>
    <row r="566" spans="2:41" ht="15.5">
      <c r="B566" s="125"/>
      <c r="C566" s="126"/>
      <c r="D566" s="126"/>
      <c r="E566" s="127"/>
      <c r="F566" s="128"/>
      <c r="G566" s="126"/>
      <c r="H566" s="127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5"/>
      <c r="X566" s="126"/>
      <c r="Y566" s="126"/>
      <c r="Z566" s="126"/>
      <c r="AA566" s="126"/>
      <c r="AB566" s="126"/>
      <c r="AC566" s="126"/>
      <c r="AD566" s="126"/>
      <c r="AE566" s="127"/>
      <c r="AF566" s="126"/>
      <c r="AG566" s="126"/>
      <c r="AH566" s="127"/>
      <c r="AI566" s="126"/>
      <c r="AJ566" s="127"/>
      <c r="AK566" s="127"/>
      <c r="AL566" s="129"/>
      <c r="AM566" s="129"/>
      <c r="AN566" s="44"/>
      <c r="AO566" s="44"/>
    </row>
    <row r="567" spans="2:41" ht="15.5">
      <c r="B567" s="125"/>
      <c r="C567" s="126"/>
      <c r="D567" s="126"/>
      <c r="E567" s="127"/>
      <c r="F567" s="128"/>
      <c r="G567" s="126"/>
      <c r="H567" s="127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5"/>
      <c r="X567" s="126"/>
      <c r="Y567" s="126"/>
      <c r="Z567" s="126"/>
      <c r="AA567" s="126"/>
      <c r="AB567" s="126"/>
      <c r="AC567" s="126"/>
      <c r="AD567" s="126"/>
      <c r="AE567" s="127"/>
      <c r="AF567" s="126"/>
      <c r="AG567" s="126"/>
      <c r="AH567" s="127"/>
      <c r="AI567" s="126"/>
      <c r="AJ567" s="127"/>
      <c r="AK567" s="127"/>
      <c r="AL567" s="129"/>
      <c r="AM567" s="129"/>
      <c r="AN567" s="44"/>
      <c r="AO567" s="44"/>
    </row>
    <row r="568" spans="2:41" ht="15.5">
      <c r="B568" s="125"/>
      <c r="C568" s="126"/>
      <c r="D568" s="126"/>
      <c r="E568" s="127"/>
      <c r="F568" s="128"/>
      <c r="G568" s="126"/>
      <c r="H568" s="127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5"/>
      <c r="X568" s="126"/>
      <c r="Y568" s="126"/>
      <c r="Z568" s="126"/>
      <c r="AA568" s="126"/>
      <c r="AB568" s="126"/>
      <c r="AC568" s="126"/>
      <c r="AD568" s="126"/>
      <c r="AE568" s="127"/>
      <c r="AF568" s="126"/>
      <c r="AG568" s="126"/>
      <c r="AH568" s="127"/>
      <c r="AI568" s="126"/>
      <c r="AJ568" s="127"/>
      <c r="AK568" s="127"/>
      <c r="AL568" s="129"/>
      <c r="AM568" s="129"/>
      <c r="AN568" s="44"/>
      <c r="AO568" s="44"/>
    </row>
    <row r="569" spans="2:41" ht="15.5">
      <c r="B569" s="125"/>
      <c r="C569" s="126"/>
      <c r="D569" s="126"/>
      <c r="E569" s="127"/>
      <c r="F569" s="128"/>
      <c r="G569" s="126"/>
      <c r="H569" s="127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5"/>
      <c r="X569" s="126"/>
      <c r="Y569" s="126"/>
      <c r="Z569" s="126"/>
      <c r="AA569" s="126"/>
      <c r="AB569" s="126"/>
      <c r="AC569" s="126"/>
      <c r="AD569" s="126"/>
      <c r="AE569" s="127"/>
      <c r="AF569" s="126"/>
      <c r="AG569" s="126"/>
      <c r="AH569" s="127"/>
      <c r="AI569" s="126"/>
      <c r="AJ569" s="127"/>
      <c r="AK569" s="127"/>
      <c r="AL569" s="129"/>
      <c r="AM569" s="129"/>
      <c r="AN569" s="44"/>
      <c r="AO569" s="44"/>
    </row>
    <row r="570" spans="2:41" ht="15.5">
      <c r="B570" s="125"/>
      <c r="C570" s="126"/>
      <c r="D570" s="126"/>
      <c r="E570" s="127"/>
      <c r="F570" s="128"/>
      <c r="G570" s="126"/>
      <c r="H570" s="127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5"/>
      <c r="X570" s="126"/>
      <c r="Y570" s="126"/>
      <c r="Z570" s="126"/>
      <c r="AA570" s="126"/>
      <c r="AB570" s="126"/>
      <c r="AC570" s="126"/>
      <c r="AD570" s="126"/>
      <c r="AE570" s="127"/>
      <c r="AF570" s="126"/>
      <c r="AG570" s="126"/>
      <c r="AH570" s="127"/>
      <c r="AI570" s="126"/>
      <c r="AJ570" s="127"/>
      <c r="AK570" s="127"/>
      <c r="AL570" s="129"/>
      <c r="AM570" s="129"/>
      <c r="AN570" s="44"/>
      <c r="AO570" s="44"/>
    </row>
    <row r="571" spans="2:41" ht="15.5">
      <c r="B571" s="125"/>
      <c r="C571" s="126"/>
      <c r="D571" s="126"/>
      <c r="E571" s="127"/>
      <c r="F571" s="128"/>
      <c r="G571" s="126"/>
      <c r="H571" s="127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5"/>
      <c r="X571" s="126"/>
      <c r="Y571" s="126"/>
      <c r="Z571" s="126"/>
      <c r="AA571" s="126"/>
      <c r="AB571" s="126"/>
      <c r="AC571" s="126"/>
      <c r="AD571" s="126"/>
      <c r="AE571" s="127"/>
      <c r="AF571" s="126"/>
      <c r="AG571" s="126"/>
      <c r="AH571" s="127"/>
      <c r="AI571" s="126"/>
      <c r="AJ571" s="127"/>
      <c r="AK571" s="127"/>
      <c r="AL571" s="129"/>
      <c r="AM571" s="129"/>
      <c r="AN571" s="44"/>
      <c r="AO571" s="44"/>
    </row>
    <row r="572" spans="2:41" ht="15.5">
      <c r="B572" s="125"/>
      <c r="C572" s="126"/>
      <c r="D572" s="126"/>
      <c r="E572" s="127"/>
      <c r="F572" s="128"/>
      <c r="G572" s="126"/>
      <c r="H572" s="127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5"/>
      <c r="X572" s="126"/>
      <c r="Y572" s="126"/>
      <c r="Z572" s="126"/>
      <c r="AA572" s="126"/>
      <c r="AB572" s="126"/>
      <c r="AC572" s="126"/>
      <c r="AD572" s="126"/>
      <c r="AE572" s="127"/>
      <c r="AF572" s="126"/>
      <c r="AG572" s="126"/>
      <c r="AH572" s="127"/>
      <c r="AI572" s="126"/>
      <c r="AJ572" s="127"/>
      <c r="AK572" s="127"/>
      <c r="AL572" s="129"/>
      <c r="AM572" s="129"/>
      <c r="AN572" s="44"/>
      <c r="AO572" s="44"/>
    </row>
    <row r="573" spans="2:41" ht="15.5">
      <c r="B573" s="125"/>
      <c r="C573" s="126"/>
      <c r="D573" s="126"/>
      <c r="E573" s="127"/>
      <c r="F573" s="128"/>
      <c r="G573" s="126"/>
      <c r="H573" s="127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5"/>
      <c r="X573" s="126"/>
      <c r="Y573" s="126"/>
      <c r="Z573" s="126"/>
      <c r="AA573" s="126"/>
      <c r="AB573" s="126"/>
      <c r="AC573" s="126"/>
      <c r="AD573" s="126"/>
      <c r="AE573" s="127"/>
      <c r="AF573" s="126"/>
      <c r="AG573" s="126"/>
      <c r="AH573" s="127"/>
      <c r="AI573" s="126"/>
      <c r="AJ573" s="127"/>
      <c r="AK573" s="127"/>
      <c r="AL573" s="129"/>
      <c r="AM573" s="129"/>
      <c r="AN573" s="44"/>
      <c r="AO573" s="44"/>
    </row>
    <row r="574" spans="2:41" ht="15.5">
      <c r="B574" s="125"/>
      <c r="C574" s="126"/>
      <c r="D574" s="126"/>
      <c r="E574" s="127"/>
      <c r="F574" s="128"/>
      <c r="G574" s="126"/>
      <c r="H574" s="127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5"/>
      <c r="X574" s="126"/>
      <c r="Y574" s="126"/>
      <c r="Z574" s="126"/>
      <c r="AA574" s="126"/>
      <c r="AB574" s="126"/>
      <c r="AC574" s="126"/>
      <c r="AD574" s="126"/>
      <c r="AE574" s="127"/>
      <c r="AF574" s="126"/>
      <c r="AG574" s="126"/>
      <c r="AH574" s="127"/>
      <c r="AI574" s="126"/>
      <c r="AJ574" s="127"/>
      <c r="AK574" s="127"/>
      <c r="AL574" s="129"/>
      <c r="AM574" s="129"/>
      <c r="AN574" s="44"/>
      <c r="AO574" s="44"/>
    </row>
    <row r="575" spans="2:41" ht="15.5">
      <c r="B575" s="125"/>
      <c r="C575" s="126"/>
      <c r="D575" s="126"/>
      <c r="E575" s="127"/>
      <c r="F575" s="128"/>
      <c r="G575" s="126"/>
      <c r="H575" s="127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5"/>
      <c r="X575" s="126"/>
      <c r="Y575" s="126"/>
      <c r="Z575" s="126"/>
      <c r="AA575" s="126"/>
      <c r="AB575" s="126"/>
      <c r="AC575" s="126"/>
      <c r="AD575" s="126"/>
      <c r="AE575" s="127"/>
      <c r="AF575" s="126"/>
      <c r="AG575" s="126"/>
      <c r="AH575" s="127"/>
      <c r="AI575" s="126"/>
      <c r="AJ575" s="127"/>
      <c r="AK575" s="127"/>
      <c r="AL575" s="129"/>
      <c r="AM575" s="129"/>
      <c r="AN575" s="44"/>
      <c r="AO575" s="44"/>
    </row>
    <row r="576" spans="2:41" ht="15.5">
      <c r="B576" s="125"/>
      <c r="C576" s="126"/>
      <c r="D576" s="126"/>
      <c r="E576" s="127"/>
      <c r="F576" s="128"/>
      <c r="G576" s="126"/>
      <c r="H576" s="127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5"/>
      <c r="X576" s="126"/>
      <c r="Y576" s="126"/>
      <c r="Z576" s="126"/>
      <c r="AA576" s="126"/>
      <c r="AB576" s="126"/>
      <c r="AC576" s="126"/>
      <c r="AD576" s="126"/>
      <c r="AE576" s="127"/>
      <c r="AF576" s="126"/>
      <c r="AG576" s="126"/>
      <c r="AH576" s="127"/>
      <c r="AI576" s="126"/>
      <c r="AJ576" s="127"/>
      <c r="AK576" s="127"/>
      <c r="AL576" s="129"/>
      <c r="AM576" s="129"/>
      <c r="AN576" s="44"/>
      <c r="AO576" s="44"/>
    </row>
    <row r="577" spans="2:41" ht="15.5">
      <c r="B577" s="125"/>
      <c r="C577" s="126"/>
      <c r="D577" s="126"/>
      <c r="E577" s="127"/>
      <c r="F577" s="128"/>
      <c r="G577" s="126"/>
      <c r="H577" s="127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5"/>
      <c r="X577" s="126"/>
      <c r="Y577" s="126"/>
      <c r="Z577" s="126"/>
      <c r="AA577" s="126"/>
      <c r="AB577" s="126"/>
      <c r="AC577" s="126"/>
      <c r="AD577" s="126"/>
      <c r="AE577" s="127"/>
      <c r="AF577" s="126"/>
      <c r="AG577" s="126"/>
      <c r="AH577" s="127"/>
      <c r="AI577" s="126"/>
      <c r="AJ577" s="127"/>
      <c r="AK577" s="127"/>
      <c r="AL577" s="129"/>
      <c r="AM577" s="129"/>
      <c r="AN577" s="44"/>
      <c r="AO577" s="44"/>
    </row>
    <row r="578" spans="2:41" ht="15.5">
      <c r="B578" s="125"/>
      <c r="C578" s="126"/>
      <c r="D578" s="126"/>
      <c r="E578" s="127"/>
      <c r="F578" s="128"/>
      <c r="G578" s="126"/>
      <c r="H578" s="127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5"/>
      <c r="X578" s="126"/>
      <c r="Y578" s="126"/>
      <c r="Z578" s="126"/>
      <c r="AA578" s="126"/>
      <c r="AB578" s="126"/>
      <c r="AC578" s="126"/>
      <c r="AD578" s="126"/>
      <c r="AE578" s="127"/>
      <c r="AF578" s="126"/>
      <c r="AG578" s="126"/>
      <c r="AH578" s="127"/>
      <c r="AI578" s="126"/>
      <c r="AJ578" s="127"/>
      <c r="AK578" s="127"/>
      <c r="AL578" s="129"/>
      <c r="AM578" s="129"/>
      <c r="AN578" s="44"/>
      <c r="AO578" s="44"/>
    </row>
    <row r="579" spans="2:41" ht="15.5">
      <c r="B579" s="125"/>
      <c r="C579" s="126"/>
      <c r="D579" s="126"/>
      <c r="E579" s="127"/>
      <c r="F579" s="128"/>
      <c r="G579" s="126"/>
      <c r="H579" s="127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5"/>
      <c r="X579" s="126"/>
      <c r="Y579" s="126"/>
      <c r="Z579" s="126"/>
      <c r="AA579" s="126"/>
      <c r="AB579" s="126"/>
      <c r="AC579" s="126"/>
      <c r="AD579" s="126"/>
      <c r="AE579" s="127"/>
      <c r="AF579" s="126"/>
      <c r="AG579" s="126"/>
      <c r="AH579" s="127"/>
      <c r="AI579" s="126"/>
      <c r="AJ579" s="127"/>
      <c r="AK579" s="127"/>
      <c r="AL579" s="129"/>
      <c r="AM579" s="129"/>
      <c r="AN579" s="44"/>
      <c r="AO579" s="44"/>
    </row>
    <row r="580" spans="2:41" ht="15.5">
      <c r="B580" s="125"/>
      <c r="C580" s="126"/>
      <c r="D580" s="126"/>
      <c r="E580" s="127"/>
      <c r="F580" s="128"/>
      <c r="G580" s="126"/>
      <c r="H580" s="127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5"/>
      <c r="X580" s="126"/>
      <c r="Y580" s="126"/>
      <c r="Z580" s="126"/>
      <c r="AA580" s="126"/>
      <c r="AB580" s="126"/>
      <c r="AC580" s="126"/>
      <c r="AD580" s="126"/>
      <c r="AE580" s="127"/>
      <c r="AF580" s="126"/>
      <c r="AG580" s="126"/>
      <c r="AH580" s="127"/>
      <c r="AI580" s="126"/>
      <c r="AJ580" s="127"/>
      <c r="AK580" s="127"/>
      <c r="AL580" s="129"/>
      <c r="AM580" s="129"/>
      <c r="AN580" s="44"/>
      <c r="AO580" s="44"/>
    </row>
    <row r="581" spans="2:41" ht="15.5">
      <c r="B581" s="125"/>
      <c r="C581" s="126"/>
      <c r="D581" s="126"/>
      <c r="E581" s="127"/>
      <c r="F581" s="128"/>
      <c r="G581" s="126"/>
      <c r="H581" s="127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5"/>
      <c r="X581" s="126"/>
      <c r="Y581" s="126"/>
      <c r="Z581" s="126"/>
      <c r="AA581" s="126"/>
      <c r="AB581" s="126"/>
      <c r="AC581" s="126"/>
      <c r="AD581" s="126"/>
      <c r="AE581" s="127"/>
      <c r="AF581" s="126"/>
      <c r="AG581" s="126"/>
      <c r="AH581" s="127"/>
      <c r="AI581" s="126"/>
      <c r="AJ581" s="127"/>
      <c r="AK581" s="127"/>
      <c r="AL581" s="129"/>
      <c r="AM581" s="129"/>
      <c r="AN581" s="44"/>
      <c r="AO581" s="44"/>
    </row>
    <row r="582" spans="2:41" ht="15.5">
      <c r="B582" s="125"/>
      <c r="C582" s="126"/>
      <c r="D582" s="126"/>
      <c r="E582" s="127"/>
      <c r="F582" s="128"/>
      <c r="G582" s="126"/>
      <c r="H582" s="127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5"/>
      <c r="X582" s="126"/>
      <c r="Y582" s="126"/>
      <c r="Z582" s="126"/>
      <c r="AA582" s="126"/>
      <c r="AB582" s="126"/>
      <c r="AC582" s="126"/>
      <c r="AD582" s="126"/>
      <c r="AE582" s="127"/>
      <c r="AF582" s="126"/>
      <c r="AG582" s="126"/>
      <c r="AH582" s="127"/>
      <c r="AI582" s="126"/>
      <c r="AJ582" s="127"/>
      <c r="AK582" s="127"/>
      <c r="AL582" s="129"/>
      <c r="AM582" s="129"/>
      <c r="AN582" s="44"/>
      <c r="AO582" s="44"/>
    </row>
    <row r="583" spans="2:41" ht="15.5">
      <c r="B583" s="125"/>
      <c r="C583" s="126"/>
      <c r="D583" s="126"/>
      <c r="E583" s="127"/>
      <c r="F583" s="128"/>
      <c r="G583" s="126"/>
      <c r="H583" s="127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5"/>
      <c r="X583" s="126"/>
      <c r="Y583" s="126"/>
      <c r="Z583" s="126"/>
      <c r="AA583" s="126"/>
      <c r="AB583" s="126"/>
      <c r="AC583" s="126"/>
      <c r="AD583" s="126"/>
      <c r="AE583" s="127"/>
      <c r="AF583" s="126"/>
      <c r="AG583" s="126"/>
      <c r="AH583" s="127"/>
      <c r="AI583" s="126"/>
      <c r="AJ583" s="127"/>
      <c r="AK583" s="127"/>
      <c r="AL583" s="129"/>
      <c r="AM583" s="129"/>
      <c r="AN583" s="44"/>
      <c r="AO583" s="44"/>
    </row>
    <row r="584" spans="2:41" ht="15.5">
      <c r="B584" s="125"/>
      <c r="C584" s="126"/>
      <c r="D584" s="126"/>
      <c r="E584" s="127"/>
      <c r="F584" s="128"/>
      <c r="G584" s="126"/>
      <c r="H584" s="127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5"/>
      <c r="X584" s="126"/>
      <c r="Y584" s="126"/>
      <c r="Z584" s="126"/>
      <c r="AA584" s="126"/>
      <c r="AB584" s="126"/>
      <c r="AC584" s="126"/>
      <c r="AD584" s="126"/>
      <c r="AE584" s="127"/>
      <c r="AF584" s="126"/>
      <c r="AG584" s="126"/>
      <c r="AH584" s="127"/>
      <c r="AI584" s="126"/>
      <c r="AJ584" s="127"/>
      <c r="AK584" s="127"/>
      <c r="AL584" s="129"/>
      <c r="AM584" s="129"/>
      <c r="AN584" s="44"/>
      <c r="AO584" s="44"/>
    </row>
    <row r="585" spans="2:41" ht="15.5">
      <c r="B585" s="125"/>
      <c r="C585" s="126"/>
      <c r="D585" s="126"/>
      <c r="E585" s="127"/>
      <c r="F585" s="128"/>
      <c r="G585" s="126"/>
      <c r="H585" s="127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5"/>
      <c r="X585" s="126"/>
      <c r="Y585" s="126"/>
      <c r="Z585" s="126"/>
      <c r="AA585" s="126"/>
      <c r="AB585" s="126"/>
      <c r="AC585" s="126"/>
      <c r="AD585" s="126"/>
      <c r="AE585" s="127"/>
      <c r="AF585" s="126"/>
      <c r="AG585" s="126"/>
      <c r="AH585" s="127"/>
      <c r="AI585" s="126"/>
      <c r="AJ585" s="127"/>
      <c r="AK585" s="127"/>
      <c r="AL585" s="129"/>
      <c r="AM585" s="129"/>
      <c r="AN585" s="44"/>
      <c r="AO585" s="44"/>
    </row>
    <row r="586" spans="2:41" ht="15.5">
      <c r="B586" s="125"/>
      <c r="C586" s="126"/>
      <c r="D586" s="126"/>
      <c r="E586" s="127"/>
      <c r="F586" s="128"/>
      <c r="G586" s="126"/>
      <c r="H586" s="127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5"/>
      <c r="X586" s="126"/>
      <c r="Y586" s="126"/>
      <c r="Z586" s="126"/>
      <c r="AA586" s="126"/>
      <c r="AB586" s="126"/>
      <c r="AC586" s="126"/>
      <c r="AD586" s="126"/>
      <c r="AE586" s="127"/>
      <c r="AF586" s="126"/>
      <c r="AG586" s="126"/>
      <c r="AH586" s="127"/>
      <c r="AI586" s="126"/>
      <c r="AJ586" s="127"/>
      <c r="AK586" s="127"/>
      <c r="AL586" s="129"/>
      <c r="AM586" s="129"/>
      <c r="AN586" s="44"/>
      <c r="AO586" s="44"/>
    </row>
    <row r="587" spans="2:41" ht="15.5">
      <c r="B587" s="125"/>
      <c r="C587" s="126"/>
      <c r="D587" s="126"/>
      <c r="E587" s="127"/>
      <c r="F587" s="128"/>
      <c r="G587" s="126"/>
      <c r="H587" s="127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5"/>
      <c r="X587" s="126"/>
      <c r="Y587" s="126"/>
      <c r="Z587" s="126"/>
      <c r="AA587" s="126"/>
      <c r="AB587" s="126"/>
      <c r="AC587" s="126"/>
      <c r="AD587" s="126"/>
      <c r="AE587" s="127"/>
      <c r="AF587" s="126"/>
      <c r="AG587" s="126"/>
      <c r="AH587" s="127"/>
      <c r="AI587" s="126"/>
      <c r="AJ587" s="127"/>
      <c r="AK587" s="127"/>
      <c r="AL587" s="129"/>
      <c r="AM587" s="129"/>
      <c r="AN587" s="44"/>
      <c r="AO587" s="44"/>
    </row>
    <row r="588" spans="2:41" ht="15.5">
      <c r="B588" s="125"/>
      <c r="C588" s="126"/>
      <c r="D588" s="126"/>
      <c r="E588" s="127"/>
      <c r="F588" s="128"/>
      <c r="G588" s="126"/>
      <c r="H588" s="127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5"/>
      <c r="X588" s="126"/>
      <c r="Y588" s="126"/>
      <c r="Z588" s="126"/>
      <c r="AA588" s="126"/>
      <c r="AB588" s="126"/>
      <c r="AC588" s="126"/>
      <c r="AD588" s="126"/>
      <c r="AE588" s="127"/>
      <c r="AF588" s="126"/>
      <c r="AG588" s="126"/>
      <c r="AH588" s="127"/>
      <c r="AI588" s="126"/>
      <c r="AJ588" s="127"/>
      <c r="AK588" s="127"/>
      <c r="AL588" s="129"/>
      <c r="AM588" s="129"/>
      <c r="AN588" s="44"/>
      <c r="AO588" s="44"/>
    </row>
    <row r="589" spans="2:41" ht="15.5">
      <c r="B589" s="125"/>
      <c r="C589" s="126"/>
      <c r="D589" s="126"/>
      <c r="E589" s="127"/>
      <c r="F589" s="128"/>
      <c r="G589" s="126"/>
      <c r="H589" s="127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5"/>
      <c r="X589" s="126"/>
      <c r="Y589" s="126"/>
      <c r="Z589" s="126"/>
      <c r="AA589" s="126"/>
      <c r="AB589" s="126"/>
      <c r="AC589" s="126"/>
      <c r="AD589" s="126"/>
      <c r="AE589" s="127"/>
      <c r="AF589" s="126"/>
      <c r="AG589" s="126"/>
      <c r="AH589" s="127"/>
      <c r="AI589" s="126"/>
      <c r="AJ589" s="127"/>
      <c r="AK589" s="127"/>
      <c r="AL589" s="129"/>
      <c r="AM589" s="129"/>
      <c r="AN589" s="44"/>
      <c r="AO589" s="44"/>
    </row>
    <row r="590" spans="2:41" ht="15.5">
      <c r="B590" s="125"/>
      <c r="C590" s="126"/>
      <c r="D590" s="126"/>
      <c r="E590" s="127"/>
      <c r="F590" s="128"/>
      <c r="G590" s="126"/>
      <c r="H590" s="127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5"/>
      <c r="X590" s="126"/>
      <c r="Y590" s="126"/>
      <c r="Z590" s="126"/>
      <c r="AA590" s="126"/>
      <c r="AB590" s="126"/>
      <c r="AC590" s="126"/>
      <c r="AD590" s="126"/>
      <c r="AE590" s="127"/>
      <c r="AF590" s="126"/>
      <c r="AG590" s="126"/>
      <c r="AH590" s="127"/>
      <c r="AI590" s="126"/>
      <c r="AJ590" s="127"/>
      <c r="AK590" s="127"/>
      <c r="AL590" s="129"/>
      <c r="AM590" s="129"/>
      <c r="AN590" s="44"/>
      <c r="AO590" s="44"/>
    </row>
    <row r="591" spans="2:41" ht="15.5">
      <c r="B591" s="125"/>
      <c r="C591" s="126"/>
      <c r="D591" s="126"/>
      <c r="E591" s="127"/>
      <c r="F591" s="128"/>
      <c r="G591" s="126"/>
      <c r="H591" s="127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5"/>
      <c r="X591" s="126"/>
      <c r="Y591" s="126"/>
      <c r="Z591" s="126"/>
      <c r="AA591" s="126"/>
      <c r="AB591" s="126"/>
      <c r="AC591" s="126"/>
      <c r="AD591" s="126"/>
      <c r="AE591" s="127"/>
      <c r="AF591" s="126"/>
      <c r="AG591" s="126"/>
      <c r="AH591" s="127"/>
      <c r="AI591" s="126"/>
      <c r="AJ591" s="127"/>
      <c r="AK591" s="127"/>
      <c r="AL591" s="129"/>
      <c r="AM591" s="129"/>
      <c r="AN591" s="44"/>
      <c r="AO591" s="44"/>
    </row>
    <row r="592" spans="2:41" ht="15.5">
      <c r="B592" s="125"/>
      <c r="C592" s="126"/>
      <c r="D592" s="126"/>
      <c r="E592" s="127"/>
      <c r="F592" s="128"/>
      <c r="G592" s="126"/>
      <c r="H592" s="127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5"/>
      <c r="X592" s="126"/>
      <c r="Y592" s="126"/>
      <c r="Z592" s="126"/>
      <c r="AA592" s="126"/>
      <c r="AB592" s="126"/>
      <c r="AC592" s="126"/>
      <c r="AD592" s="126"/>
      <c r="AE592" s="127"/>
      <c r="AF592" s="126"/>
      <c r="AG592" s="126"/>
      <c r="AH592" s="127"/>
      <c r="AI592" s="126"/>
      <c r="AJ592" s="127"/>
      <c r="AK592" s="127"/>
      <c r="AL592" s="129"/>
      <c r="AM592" s="129"/>
      <c r="AN592" s="44"/>
      <c r="AO592" s="44"/>
    </row>
    <row r="593" spans="2:41" ht="15.5">
      <c r="B593" s="125"/>
      <c r="C593" s="126"/>
      <c r="D593" s="126"/>
      <c r="E593" s="127"/>
      <c r="F593" s="128"/>
      <c r="G593" s="126"/>
      <c r="H593" s="127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5"/>
      <c r="X593" s="126"/>
      <c r="Y593" s="126"/>
      <c r="Z593" s="126"/>
      <c r="AA593" s="126"/>
      <c r="AB593" s="126"/>
      <c r="AC593" s="126"/>
      <c r="AD593" s="126"/>
      <c r="AE593" s="127"/>
      <c r="AF593" s="126"/>
      <c r="AG593" s="126"/>
      <c r="AH593" s="127"/>
      <c r="AI593" s="126"/>
      <c r="AJ593" s="127"/>
      <c r="AK593" s="127"/>
      <c r="AL593" s="129"/>
      <c r="AM593" s="129"/>
      <c r="AN593" s="44"/>
      <c r="AO593" s="44"/>
    </row>
    <row r="594" spans="2:41" ht="15.5">
      <c r="B594" s="125"/>
      <c r="C594" s="126"/>
      <c r="D594" s="126"/>
      <c r="E594" s="127"/>
      <c r="F594" s="128"/>
      <c r="G594" s="126"/>
      <c r="H594" s="127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5"/>
      <c r="X594" s="126"/>
      <c r="Y594" s="126"/>
      <c r="Z594" s="126"/>
      <c r="AA594" s="126"/>
      <c r="AB594" s="126"/>
      <c r="AC594" s="126"/>
      <c r="AD594" s="126"/>
      <c r="AE594" s="127"/>
      <c r="AF594" s="126"/>
      <c r="AG594" s="126"/>
      <c r="AH594" s="127"/>
      <c r="AI594" s="126"/>
      <c r="AJ594" s="127"/>
      <c r="AK594" s="127"/>
      <c r="AL594" s="129"/>
      <c r="AM594" s="129"/>
      <c r="AN594" s="44"/>
      <c r="AO594" s="44"/>
    </row>
    <row r="595" spans="2:41" ht="15.5">
      <c r="B595" s="125"/>
      <c r="C595" s="126"/>
      <c r="D595" s="126"/>
      <c r="E595" s="127"/>
      <c r="F595" s="128"/>
      <c r="G595" s="126"/>
      <c r="H595" s="127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5"/>
      <c r="X595" s="126"/>
      <c r="Y595" s="126"/>
      <c r="Z595" s="126"/>
      <c r="AA595" s="126"/>
      <c r="AB595" s="126"/>
      <c r="AC595" s="126"/>
      <c r="AD595" s="126"/>
      <c r="AE595" s="127"/>
      <c r="AF595" s="126"/>
      <c r="AG595" s="126"/>
      <c r="AH595" s="127"/>
      <c r="AI595" s="126"/>
      <c r="AJ595" s="127"/>
      <c r="AK595" s="127"/>
      <c r="AL595" s="129"/>
      <c r="AM595" s="129"/>
      <c r="AN595" s="44"/>
      <c r="AO595" s="44"/>
    </row>
    <row r="596" spans="2:41" ht="15.5">
      <c r="B596" s="125"/>
      <c r="C596" s="126"/>
      <c r="D596" s="126"/>
      <c r="E596" s="127"/>
      <c r="F596" s="128"/>
      <c r="G596" s="126"/>
      <c r="H596" s="127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5"/>
      <c r="X596" s="126"/>
      <c r="Y596" s="126"/>
      <c r="Z596" s="126"/>
      <c r="AA596" s="126"/>
      <c r="AB596" s="126"/>
      <c r="AC596" s="126"/>
      <c r="AD596" s="126"/>
      <c r="AE596" s="127"/>
      <c r="AF596" s="126"/>
      <c r="AG596" s="126"/>
      <c r="AH596" s="127"/>
      <c r="AI596" s="126"/>
      <c r="AJ596" s="127"/>
      <c r="AK596" s="127"/>
      <c r="AL596" s="129"/>
      <c r="AM596" s="129"/>
      <c r="AN596" s="44"/>
      <c r="AO596" s="44"/>
    </row>
    <row r="597" spans="2:41" ht="15.5">
      <c r="B597" s="125"/>
      <c r="C597" s="126"/>
      <c r="D597" s="126"/>
      <c r="E597" s="127"/>
      <c r="F597" s="128"/>
      <c r="G597" s="126"/>
      <c r="H597" s="127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5"/>
      <c r="X597" s="126"/>
      <c r="Y597" s="126"/>
      <c r="Z597" s="126"/>
      <c r="AA597" s="126"/>
      <c r="AB597" s="126"/>
      <c r="AC597" s="126"/>
      <c r="AD597" s="126"/>
      <c r="AE597" s="127"/>
      <c r="AF597" s="126"/>
      <c r="AG597" s="126"/>
      <c r="AH597" s="127"/>
      <c r="AI597" s="126"/>
      <c r="AJ597" s="127"/>
      <c r="AK597" s="127"/>
      <c r="AL597" s="129"/>
      <c r="AM597" s="129"/>
      <c r="AN597" s="44"/>
      <c r="AO597" s="44"/>
    </row>
    <row r="598" spans="2:41" ht="15.5">
      <c r="B598" s="125"/>
      <c r="C598" s="126"/>
      <c r="D598" s="126"/>
      <c r="E598" s="127"/>
      <c r="F598" s="128"/>
      <c r="G598" s="126"/>
      <c r="H598" s="127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5"/>
      <c r="X598" s="126"/>
      <c r="Y598" s="126"/>
      <c r="Z598" s="126"/>
      <c r="AA598" s="126"/>
      <c r="AB598" s="126"/>
      <c r="AC598" s="126"/>
      <c r="AD598" s="126"/>
      <c r="AE598" s="127"/>
      <c r="AF598" s="126"/>
      <c r="AG598" s="126"/>
      <c r="AH598" s="127"/>
      <c r="AI598" s="126"/>
      <c r="AJ598" s="127"/>
      <c r="AK598" s="127"/>
      <c r="AL598" s="129"/>
      <c r="AM598" s="129"/>
      <c r="AN598" s="44"/>
      <c r="AO598" s="44"/>
    </row>
    <row r="599" spans="2:41" ht="15.5">
      <c r="B599" s="125"/>
      <c r="C599" s="126"/>
      <c r="D599" s="126"/>
      <c r="E599" s="127"/>
      <c r="F599" s="128"/>
      <c r="G599" s="126"/>
      <c r="H599" s="127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5"/>
      <c r="X599" s="126"/>
      <c r="Y599" s="126"/>
      <c r="Z599" s="126"/>
      <c r="AA599" s="126"/>
      <c r="AB599" s="126"/>
      <c r="AC599" s="126"/>
      <c r="AD599" s="126"/>
      <c r="AE599" s="127"/>
      <c r="AF599" s="126"/>
      <c r="AG599" s="126"/>
      <c r="AH599" s="127"/>
      <c r="AI599" s="126"/>
      <c r="AJ599" s="127"/>
      <c r="AK599" s="127"/>
      <c r="AL599" s="129"/>
      <c r="AM599" s="129"/>
      <c r="AN599" s="44"/>
      <c r="AO599" s="44"/>
    </row>
    <row r="600" spans="2:41" ht="15.5">
      <c r="B600" s="125"/>
      <c r="C600" s="126"/>
      <c r="D600" s="126"/>
      <c r="E600" s="127"/>
      <c r="F600" s="128"/>
      <c r="G600" s="126"/>
      <c r="H600" s="127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5"/>
      <c r="X600" s="126"/>
      <c r="Y600" s="126"/>
      <c r="Z600" s="126"/>
      <c r="AA600" s="126"/>
      <c r="AB600" s="126"/>
      <c r="AC600" s="126"/>
      <c r="AD600" s="126"/>
      <c r="AE600" s="127"/>
      <c r="AF600" s="126"/>
      <c r="AG600" s="126"/>
      <c r="AH600" s="127"/>
      <c r="AI600" s="126"/>
      <c r="AJ600" s="127"/>
      <c r="AK600" s="127"/>
      <c r="AL600" s="129"/>
      <c r="AM600" s="129"/>
      <c r="AN600" s="44"/>
      <c r="AO600" s="44"/>
    </row>
    <row r="601" spans="2:41" ht="15.5">
      <c r="B601" s="125"/>
      <c r="C601" s="126"/>
      <c r="D601" s="126"/>
      <c r="E601" s="127"/>
      <c r="F601" s="128"/>
      <c r="G601" s="126"/>
      <c r="H601" s="127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5"/>
      <c r="X601" s="126"/>
      <c r="Y601" s="126"/>
      <c r="Z601" s="126"/>
      <c r="AA601" s="126"/>
      <c r="AB601" s="126"/>
      <c r="AC601" s="126"/>
      <c r="AD601" s="126"/>
      <c r="AE601" s="127"/>
      <c r="AF601" s="126"/>
      <c r="AG601" s="126"/>
      <c r="AH601" s="127"/>
      <c r="AI601" s="126"/>
      <c r="AJ601" s="127"/>
      <c r="AK601" s="127"/>
      <c r="AL601" s="129"/>
      <c r="AM601" s="129"/>
      <c r="AN601" s="44"/>
      <c r="AO601" s="44"/>
    </row>
    <row r="602" spans="2:41" ht="15.5">
      <c r="B602" s="125"/>
      <c r="C602" s="126"/>
      <c r="D602" s="126"/>
      <c r="E602" s="127"/>
      <c r="F602" s="128"/>
      <c r="G602" s="126"/>
      <c r="H602" s="127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5"/>
      <c r="X602" s="126"/>
      <c r="Y602" s="126"/>
      <c r="Z602" s="126"/>
      <c r="AA602" s="126"/>
      <c r="AB602" s="126"/>
      <c r="AC602" s="126"/>
      <c r="AD602" s="126"/>
      <c r="AE602" s="127"/>
      <c r="AF602" s="126"/>
      <c r="AG602" s="126"/>
      <c r="AH602" s="127"/>
      <c r="AI602" s="126"/>
      <c r="AJ602" s="127"/>
      <c r="AK602" s="127"/>
      <c r="AL602" s="129"/>
      <c r="AM602" s="129"/>
      <c r="AN602" s="44"/>
      <c r="AO602" s="44"/>
    </row>
    <row r="603" spans="2:41" ht="15.5">
      <c r="B603" s="125"/>
      <c r="C603" s="126"/>
      <c r="D603" s="126"/>
      <c r="E603" s="127"/>
      <c r="F603" s="128"/>
      <c r="G603" s="126"/>
      <c r="H603" s="127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5"/>
      <c r="X603" s="126"/>
      <c r="Y603" s="126"/>
      <c r="Z603" s="126"/>
      <c r="AA603" s="126"/>
      <c r="AB603" s="126"/>
      <c r="AC603" s="126"/>
      <c r="AD603" s="126"/>
      <c r="AE603" s="127"/>
      <c r="AF603" s="126"/>
      <c r="AG603" s="126"/>
      <c r="AH603" s="127"/>
      <c r="AI603" s="126"/>
      <c r="AJ603" s="127"/>
      <c r="AK603" s="127"/>
      <c r="AL603" s="129"/>
      <c r="AM603" s="129"/>
      <c r="AN603" s="44"/>
      <c r="AO603" s="44"/>
    </row>
    <row r="604" spans="2:41" ht="15.5">
      <c r="B604" s="125"/>
      <c r="C604" s="126"/>
      <c r="D604" s="126"/>
      <c r="E604" s="127"/>
      <c r="F604" s="128"/>
      <c r="G604" s="126"/>
      <c r="H604" s="127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5"/>
      <c r="X604" s="126"/>
      <c r="Y604" s="126"/>
      <c r="Z604" s="126"/>
      <c r="AA604" s="126"/>
      <c r="AB604" s="126"/>
      <c r="AC604" s="126"/>
      <c r="AD604" s="126"/>
      <c r="AE604" s="127"/>
      <c r="AF604" s="126"/>
      <c r="AG604" s="126"/>
      <c r="AH604" s="127"/>
      <c r="AI604" s="126"/>
      <c r="AJ604" s="127"/>
      <c r="AK604" s="127"/>
      <c r="AL604" s="129"/>
      <c r="AM604" s="129"/>
      <c r="AN604" s="44"/>
      <c r="AO604" s="44"/>
    </row>
    <row r="605" spans="2:41" ht="15.5">
      <c r="B605" s="125"/>
      <c r="C605" s="126"/>
      <c r="D605" s="126"/>
      <c r="E605" s="127"/>
      <c r="F605" s="128"/>
      <c r="G605" s="126"/>
      <c r="H605" s="127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5"/>
      <c r="X605" s="126"/>
      <c r="Y605" s="126"/>
      <c r="Z605" s="126"/>
      <c r="AA605" s="126"/>
      <c r="AB605" s="126"/>
      <c r="AC605" s="126"/>
      <c r="AD605" s="126"/>
      <c r="AE605" s="127"/>
      <c r="AF605" s="126"/>
      <c r="AG605" s="126"/>
      <c r="AH605" s="127"/>
      <c r="AI605" s="126"/>
      <c r="AJ605" s="127"/>
      <c r="AK605" s="127"/>
      <c r="AL605" s="129"/>
      <c r="AM605" s="129"/>
      <c r="AN605" s="44"/>
      <c r="AO605" s="44"/>
    </row>
    <row r="606" spans="2:41" ht="15.5">
      <c r="B606" s="125"/>
      <c r="C606" s="126"/>
      <c r="D606" s="126"/>
      <c r="E606" s="127"/>
      <c r="F606" s="128"/>
      <c r="G606" s="126"/>
      <c r="H606" s="127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5"/>
      <c r="X606" s="126"/>
      <c r="Y606" s="126"/>
      <c r="Z606" s="126"/>
      <c r="AA606" s="126"/>
      <c r="AB606" s="126"/>
      <c r="AC606" s="126"/>
      <c r="AD606" s="126"/>
      <c r="AE606" s="127"/>
      <c r="AF606" s="126"/>
      <c r="AG606" s="126"/>
      <c r="AH606" s="127"/>
      <c r="AI606" s="126"/>
      <c r="AJ606" s="127"/>
      <c r="AK606" s="127"/>
      <c r="AL606" s="129"/>
      <c r="AM606" s="129"/>
      <c r="AN606" s="44"/>
      <c r="AO606" s="44"/>
    </row>
    <row r="607" spans="2:41" ht="15.5">
      <c r="B607" s="125"/>
      <c r="C607" s="126"/>
      <c r="D607" s="126"/>
      <c r="E607" s="127"/>
      <c r="F607" s="128"/>
      <c r="G607" s="126"/>
      <c r="H607" s="127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5"/>
      <c r="X607" s="126"/>
      <c r="Y607" s="126"/>
      <c r="Z607" s="126"/>
      <c r="AA607" s="126"/>
      <c r="AB607" s="126"/>
      <c r="AC607" s="126"/>
      <c r="AD607" s="126"/>
      <c r="AE607" s="127"/>
      <c r="AF607" s="126"/>
      <c r="AG607" s="126"/>
      <c r="AH607" s="127"/>
      <c r="AI607" s="126"/>
      <c r="AJ607" s="127"/>
      <c r="AK607" s="127"/>
      <c r="AL607" s="129"/>
      <c r="AM607" s="129"/>
      <c r="AN607" s="44"/>
      <c r="AO607" s="44"/>
    </row>
    <row r="608" spans="2:41" ht="15.5">
      <c r="B608" s="125"/>
      <c r="C608" s="126"/>
      <c r="D608" s="126"/>
      <c r="E608" s="127"/>
      <c r="F608" s="128"/>
      <c r="G608" s="126"/>
      <c r="H608" s="127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5"/>
      <c r="X608" s="126"/>
      <c r="Y608" s="126"/>
      <c r="Z608" s="126"/>
      <c r="AA608" s="126"/>
      <c r="AB608" s="126"/>
      <c r="AC608" s="126"/>
      <c r="AD608" s="126"/>
      <c r="AE608" s="127"/>
      <c r="AF608" s="126"/>
      <c r="AG608" s="126"/>
      <c r="AH608" s="127"/>
      <c r="AI608" s="126"/>
      <c r="AJ608" s="127"/>
      <c r="AK608" s="127"/>
      <c r="AL608" s="129"/>
      <c r="AM608" s="129"/>
      <c r="AN608" s="44"/>
      <c r="AO608" s="44"/>
    </row>
    <row r="609" spans="2:41" ht="15.5">
      <c r="B609" s="125"/>
      <c r="C609" s="126"/>
      <c r="D609" s="126"/>
      <c r="E609" s="127"/>
      <c r="F609" s="128"/>
      <c r="G609" s="126"/>
      <c r="H609" s="127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5"/>
      <c r="X609" s="126"/>
      <c r="Y609" s="126"/>
      <c r="Z609" s="126"/>
      <c r="AA609" s="126"/>
      <c r="AB609" s="126"/>
      <c r="AC609" s="126"/>
      <c r="AD609" s="126"/>
      <c r="AE609" s="127"/>
      <c r="AF609" s="126"/>
      <c r="AG609" s="126"/>
      <c r="AH609" s="127"/>
      <c r="AI609" s="126"/>
      <c r="AJ609" s="127"/>
      <c r="AK609" s="127"/>
      <c r="AL609" s="129"/>
      <c r="AM609" s="129"/>
      <c r="AN609" s="44"/>
      <c r="AO609" s="44"/>
    </row>
    <row r="610" spans="2:41" ht="15.5">
      <c r="B610" s="125"/>
      <c r="C610" s="126"/>
      <c r="D610" s="126"/>
      <c r="E610" s="127"/>
      <c r="F610" s="128"/>
      <c r="G610" s="126"/>
      <c r="H610" s="127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5"/>
      <c r="X610" s="126"/>
      <c r="Y610" s="126"/>
      <c r="Z610" s="126"/>
      <c r="AA610" s="126"/>
      <c r="AB610" s="126"/>
      <c r="AC610" s="126"/>
      <c r="AD610" s="126"/>
      <c r="AE610" s="127"/>
      <c r="AF610" s="126"/>
      <c r="AG610" s="126"/>
      <c r="AH610" s="127"/>
      <c r="AI610" s="126"/>
      <c r="AJ610" s="127"/>
      <c r="AK610" s="127"/>
      <c r="AL610" s="129"/>
      <c r="AM610" s="129"/>
      <c r="AN610" s="44"/>
      <c r="AO610" s="44"/>
    </row>
    <row r="611" spans="2:41" ht="15.5">
      <c r="B611" s="125"/>
      <c r="C611" s="126"/>
      <c r="D611" s="126"/>
      <c r="E611" s="127"/>
      <c r="F611" s="128"/>
      <c r="G611" s="126"/>
      <c r="H611" s="127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5"/>
      <c r="X611" s="126"/>
      <c r="Y611" s="126"/>
      <c r="Z611" s="126"/>
      <c r="AA611" s="126"/>
      <c r="AB611" s="126"/>
      <c r="AC611" s="126"/>
      <c r="AD611" s="126"/>
      <c r="AE611" s="127"/>
      <c r="AF611" s="126"/>
      <c r="AG611" s="126"/>
      <c r="AH611" s="127"/>
      <c r="AI611" s="126"/>
      <c r="AJ611" s="127"/>
      <c r="AK611" s="127"/>
      <c r="AL611" s="129"/>
      <c r="AM611" s="129"/>
      <c r="AN611" s="44"/>
      <c r="AO611" s="44"/>
    </row>
    <row r="612" spans="2:41" ht="15.5">
      <c r="B612" s="125"/>
      <c r="C612" s="126"/>
      <c r="D612" s="126"/>
      <c r="E612" s="127"/>
      <c r="F612" s="128"/>
      <c r="G612" s="126"/>
      <c r="H612" s="127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5"/>
      <c r="X612" s="126"/>
      <c r="Y612" s="126"/>
      <c r="Z612" s="126"/>
      <c r="AA612" s="126"/>
      <c r="AB612" s="126"/>
      <c r="AC612" s="126"/>
      <c r="AD612" s="126"/>
      <c r="AE612" s="127"/>
      <c r="AF612" s="126"/>
      <c r="AG612" s="126"/>
      <c r="AH612" s="127"/>
      <c r="AI612" s="126"/>
      <c r="AJ612" s="127"/>
      <c r="AK612" s="127"/>
      <c r="AL612" s="129"/>
      <c r="AM612" s="129"/>
      <c r="AN612" s="44"/>
      <c r="AO612" s="44"/>
    </row>
    <row r="613" spans="2:41" ht="15.5">
      <c r="B613" s="125"/>
      <c r="C613" s="126"/>
      <c r="D613" s="126"/>
      <c r="E613" s="127"/>
      <c r="F613" s="128"/>
      <c r="G613" s="126"/>
      <c r="H613" s="127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5"/>
      <c r="X613" s="126"/>
      <c r="Y613" s="126"/>
      <c r="Z613" s="126"/>
      <c r="AA613" s="126"/>
      <c r="AB613" s="126"/>
      <c r="AC613" s="126"/>
      <c r="AD613" s="126"/>
      <c r="AE613" s="127"/>
      <c r="AF613" s="126"/>
      <c r="AG613" s="126"/>
      <c r="AH613" s="127"/>
      <c r="AI613" s="126"/>
      <c r="AJ613" s="127"/>
      <c r="AK613" s="127"/>
      <c r="AL613" s="129"/>
      <c r="AM613" s="129"/>
      <c r="AN613" s="44"/>
      <c r="AO613" s="44"/>
    </row>
    <row r="614" spans="2:41" ht="15.5">
      <c r="B614" s="125"/>
      <c r="C614" s="126"/>
      <c r="D614" s="126"/>
      <c r="E614" s="127"/>
      <c r="F614" s="128"/>
      <c r="G614" s="126"/>
      <c r="H614" s="127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5"/>
      <c r="X614" s="126"/>
      <c r="Y614" s="126"/>
      <c r="Z614" s="126"/>
      <c r="AA614" s="126"/>
      <c r="AB614" s="126"/>
      <c r="AC614" s="126"/>
      <c r="AD614" s="126"/>
      <c r="AE614" s="127"/>
      <c r="AF614" s="126"/>
      <c r="AG614" s="126"/>
      <c r="AH614" s="127"/>
      <c r="AI614" s="126"/>
      <c r="AJ614" s="127"/>
      <c r="AK614" s="127"/>
      <c r="AL614" s="129"/>
      <c r="AM614" s="129"/>
      <c r="AN614" s="44"/>
      <c r="AO614" s="44"/>
    </row>
    <row r="615" spans="2:41" ht="15.5">
      <c r="B615" s="125"/>
      <c r="C615" s="126"/>
      <c r="D615" s="126"/>
      <c r="E615" s="127"/>
      <c r="F615" s="128"/>
      <c r="G615" s="126"/>
      <c r="H615" s="127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5"/>
      <c r="X615" s="126"/>
      <c r="Y615" s="126"/>
      <c r="Z615" s="126"/>
      <c r="AA615" s="126"/>
      <c r="AB615" s="126"/>
      <c r="AC615" s="126"/>
      <c r="AD615" s="126"/>
      <c r="AE615" s="127"/>
      <c r="AF615" s="126"/>
      <c r="AG615" s="126"/>
      <c r="AH615" s="127"/>
      <c r="AI615" s="126"/>
      <c r="AJ615" s="127"/>
      <c r="AK615" s="127"/>
      <c r="AL615" s="129"/>
      <c r="AM615" s="129"/>
      <c r="AN615" s="44"/>
      <c r="AO615" s="44"/>
    </row>
    <row r="616" spans="2:41" ht="15.5">
      <c r="B616" s="125"/>
      <c r="C616" s="126"/>
      <c r="D616" s="126"/>
      <c r="E616" s="127"/>
      <c r="F616" s="128"/>
      <c r="G616" s="126"/>
      <c r="H616" s="127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5"/>
      <c r="X616" s="126"/>
      <c r="Y616" s="126"/>
      <c r="Z616" s="126"/>
      <c r="AA616" s="126"/>
      <c r="AB616" s="126"/>
      <c r="AC616" s="126"/>
      <c r="AD616" s="126"/>
      <c r="AE616" s="127"/>
      <c r="AF616" s="126"/>
      <c r="AG616" s="126"/>
      <c r="AH616" s="127"/>
      <c r="AI616" s="126"/>
      <c r="AJ616" s="127"/>
      <c r="AK616" s="127"/>
      <c r="AL616" s="129"/>
      <c r="AM616" s="129"/>
      <c r="AN616" s="44"/>
      <c r="AO616" s="44"/>
    </row>
    <row r="617" spans="2:41" ht="15.5">
      <c r="B617" s="125"/>
      <c r="C617" s="126"/>
      <c r="D617" s="126"/>
      <c r="E617" s="127"/>
      <c r="F617" s="128"/>
      <c r="G617" s="126"/>
      <c r="H617" s="127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5"/>
      <c r="X617" s="126"/>
      <c r="Y617" s="126"/>
      <c r="Z617" s="126"/>
      <c r="AA617" s="126"/>
      <c r="AB617" s="126"/>
      <c r="AC617" s="126"/>
      <c r="AD617" s="126"/>
      <c r="AE617" s="127"/>
      <c r="AF617" s="126"/>
      <c r="AG617" s="126"/>
      <c r="AH617" s="127"/>
      <c r="AI617" s="126"/>
      <c r="AJ617" s="127"/>
      <c r="AK617" s="127"/>
      <c r="AL617" s="129"/>
      <c r="AM617" s="129"/>
      <c r="AN617" s="44"/>
      <c r="AO617" s="44"/>
    </row>
    <row r="618" spans="2:41" ht="15.5">
      <c r="B618" s="125"/>
      <c r="C618" s="126"/>
      <c r="D618" s="126"/>
      <c r="E618" s="127"/>
      <c r="F618" s="128"/>
      <c r="G618" s="126"/>
      <c r="H618" s="127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5"/>
      <c r="X618" s="126"/>
      <c r="Y618" s="126"/>
      <c r="Z618" s="126"/>
      <c r="AA618" s="126"/>
      <c r="AB618" s="126"/>
      <c r="AC618" s="126"/>
      <c r="AD618" s="126"/>
      <c r="AE618" s="127"/>
      <c r="AF618" s="126"/>
      <c r="AG618" s="126"/>
      <c r="AH618" s="127"/>
      <c r="AI618" s="126"/>
      <c r="AJ618" s="127"/>
      <c r="AK618" s="127"/>
      <c r="AL618" s="129"/>
      <c r="AM618" s="129"/>
      <c r="AN618" s="44"/>
      <c r="AO618" s="44"/>
    </row>
    <row r="619" spans="2:41" ht="15.5">
      <c r="B619" s="125"/>
      <c r="C619" s="126"/>
      <c r="D619" s="126"/>
      <c r="E619" s="127"/>
      <c r="F619" s="128"/>
      <c r="G619" s="126"/>
      <c r="H619" s="127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5"/>
      <c r="X619" s="126"/>
      <c r="Y619" s="126"/>
      <c r="Z619" s="126"/>
      <c r="AA619" s="126"/>
      <c r="AB619" s="126"/>
      <c r="AC619" s="126"/>
      <c r="AD619" s="126"/>
      <c r="AE619" s="127"/>
      <c r="AF619" s="126"/>
      <c r="AG619" s="126"/>
      <c r="AH619" s="127"/>
      <c r="AI619" s="126"/>
      <c r="AJ619" s="127"/>
      <c r="AK619" s="127"/>
      <c r="AL619" s="129"/>
      <c r="AM619" s="129"/>
      <c r="AN619" s="44"/>
      <c r="AO619" s="44"/>
    </row>
    <row r="620" spans="2:41" ht="15.5">
      <c r="B620" s="125"/>
      <c r="C620" s="126"/>
      <c r="D620" s="126"/>
      <c r="E620" s="127"/>
      <c r="F620" s="128"/>
      <c r="G620" s="126"/>
      <c r="H620" s="127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5"/>
      <c r="X620" s="126"/>
      <c r="Y620" s="126"/>
      <c r="Z620" s="126"/>
      <c r="AA620" s="126"/>
      <c r="AB620" s="126"/>
      <c r="AC620" s="126"/>
      <c r="AD620" s="126"/>
      <c r="AE620" s="127"/>
      <c r="AF620" s="126"/>
      <c r="AG620" s="126"/>
      <c r="AH620" s="127"/>
      <c r="AI620" s="126"/>
      <c r="AJ620" s="127"/>
      <c r="AK620" s="127"/>
      <c r="AL620" s="129"/>
      <c r="AM620" s="129"/>
      <c r="AN620" s="44"/>
      <c r="AO620" s="44"/>
    </row>
    <row r="621" spans="2:41" ht="15.5">
      <c r="B621" s="125"/>
      <c r="C621" s="126"/>
      <c r="D621" s="126"/>
      <c r="E621" s="127"/>
      <c r="F621" s="128"/>
      <c r="G621" s="126"/>
      <c r="H621" s="127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5"/>
      <c r="X621" s="126"/>
      <c r="Y621" s="126"/>
      <c r="Z621" s="126"/>
      <c r="AA621" s="126"/>
      <c r="AB621" s="126"/>
      <c r="AC621" s="126"/>
      <c r="AD621" s="126"/>
      <c r="AE621" s="127"/>
      <c r="AF621" s="126"/>
      <c r="AG621" s="126"/>
      <c r="AH621" s="127"/>
      <c r="AI621" s="126"/>
      <c r="AJ621" s="127"/>
      <c r="AK621" s="127"/>
      <c r="AL621" s="129"/>
      <c r="AM621" s="129"/>
      <c r="AN621" s="44"/>
      <c r="AO621" s="44"/>
    </row>
    <row r="622" spans="2:41" ht="15.5">
      <c r="B622" s="125"/>
      <c r="C622" s="126"/>
      <c r="D622" s="126"/>
      <c r="E622" s="127"/>
      <c r="F622" s="128"/>
      <c r="G622" s="126"/>
      <c r="H622" s="127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5"/>
      <c r="X622" s="126"/>
      <c r="Y622" s="126"/>
      <c r="Z622" s="126"/>
      <c r="AA622" s="126"/>
      <c r="AB622" s="126"/>
      <c r="AC622" s="126"/>
      <c r="AD622" s="126"/>
      <c r="AE622" s="127"/>
      <c r="AF622" s="126"/>
      <c r="AG622" s="126"/>
      <c r="AH622" s="127"/>
      <c r="AI622" s="126"/>
      <c r="AJ622" s="127"/>
      <c r="AK622" s="127"/>
      <c r="AL622" s="129"/>
      <c r="AM622" s="129"/>
      <c r="AN622" s="44"/>
      <c r="AO622" s="44"/>
    </row>
    <row r="623" spans="2:41" ht="15.5">
      <c r="B623" s="125"/>
      <c r="C623" s="126"/>
      <c r="D623" s="126"/>
      <c r="E623" s="127"/>
      <c r="F623" s="128"/>
      <c r="G623" s="126"/>
      <c r="H623" s="127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5"/>
      <c r="X623" s="126"/>
      <c r="Y623" s="126"/>
      <c r="Z623" s="126"/>
      <c r="AA623" s="126"/>
      <c r="AB623" s="126"/>
      <c r="AC623" s="126"/>
      <c r="AD623" s="126"/>
      <c r="AE623" s="127"/>
      <c r="AF623" s="126"/>
      <c r="AG623" s="126"/>
      <c r="AH623" s="127"/>
      <c r="AI623" s="126"/>
      <c r="AJ623" s="127"/>
      <c r="AK623" s="127"/>
      <c r="AL623" s="129"/>
      <c r="AM623" s="129"/>
      <c r="AN623" s="44"/>
      <c r="AO623" s="44"/>
    </row>
    <row r="624" spans="2:41" ht="15.5">
      <c r="B624" s="125"/>
      <c r="C624" s="126"/>
      <c r="D624" s="126"/>
      <c r="E624" s="127"/>
      <c r="F624" s="128"/>
      <c r="G624" s="126"/>
      <c r="H624" s="127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5"/>
      <c r="X624" s="126"/>
      <c r="Y624" s="126"/>
      <c r="Z624" s="126"/>
      <c r="AA624" s="126"/>
      <c r="AB624" s="126"/>
      <c r="AC624" s="126"/>
      <c r="AD624" s="126"/>
      <c r="AE624" s="127"/>
      <c r="AF624" s="126"/>
      <c r="AG624" s="126"/>
      <c r="AH624" s="127"/>
      <c r="AI624" s="126"/>
      <c r="AJ624" s="127"/>
      <c r="AK624" s="127"/>
      <c r="AL624" s="129"/>
      <c r="AM624" s="129"/>
      <c r="AN624" s="44"/>
      <c r="AO624" s="44"/>
    </row>
    <row r="625" spans="2:41" ht="15.5">
      <c r="B625" s="125"/>
      <c r="C625" s="126"/>
      <c r="D625" s="126"/>
      <c r="E625" s="127"/>
      <c r="F625" s="128"/>
      <c r="G625" s="126"/>
      <c r="H625" s="127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5"/>
      <c r="X625" s="126"/>
      <c r="Y625" s="126"/>
      <c r="Z625" s="126"/>
      <c r="AA625" s="126"/>
      <c r="AB625" s="126"/>
      <c r="AC625" s="126"/>
      <c r="AD625" s="126"/>
      <c r="AE625" s="127"/>
      <c r="AF625" s="126"/>
      <c r="AG625" s="126"/>
      <c r="AH625" s="127"/>
      <c r="AI625" s="126"/>
      <c r="AJ625" s="127"/>
      <c r="AK625" s="127"/>
      <c r="AL625" s="129"/>
      <c r="AM625" s="129"/>
      <c r="AN625" s="44"/>
      <c r="AO625" s="44"/>
    </row>
    <row r="626" spans="2:41" ht="15.5">
      <c r="B626" s="125"/>
      <c r="C626" s="126"/>
      <c r="D626" s="126"/>
      <c r="E626" s="127"/>
      <c r="F626" s="128"/>
      <c r="G626" s="126"/>
      <c r="H626" s="127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5"/>
      <c r="X626" s="126"/>
      <c r="Y626" s="126"/>
      <c r="Z626" s="126"/>
      <c r="AA626" s="126"/>
      <c r="AB626" s="126"/>
      <c r="AC626" s="126"/>
      <c r="AD626" s="126"/>
      <c r="AE626" s="127"/>
      <c r="AF626" s="126"/>
      <c r="AG626" s="126"/>
      <c r="AH626" s="127"/>
      <c r="AI626" s="126"/>
      <c r="AJ626" s="127"/>
      <c r="AK626" s="127"/>
      <c r="AL626" s="129"/>
      <c r="AM626" s="129"/>
      <c r="AN626" s="44"/>
      <c r="AO626" s="44"/>
    </row>
    <row r="627" spans="2:41" ht="15.5">
      <c r="B627" s="125"/>
      <c r="C627" s="126"/>
      <c r="D627" s="126"/>
      <c r="E627" s="127"/>
      <c r="F627" s="128"/>
      <c r="G627" s="126"/>
      <c r="H627" s="127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5"/>
      <c r="X627" s="126"/>
      <c r="Y627" s="126"/>
      <c r="Z627" s="126"/>
      <c r="AA627" s="126"/>
      <c r="AB627" s="126"/>
      <c r="AC627" s="126"/>
      <c r="AD627" s="126"/>
      <c r="AE627" s="127"/>
      <c r="AF627" s="126"/>
      <c r="AG627" s="126"/>
      <c r="AH627" s="127"/>
      <c r="AI627" s="126"/>
      <c r="AJ627" s="127"/>
      <c r="AK627" s="127"/>
      <c r="AL627" s="129"/>
      <c r="AM627" s="129"/>
      <c r="AN627" s="44"/>
      <c r="AO627" s="44"/>
    </row>
    <row r="628" spans="2:41" ht="15.5">
      <c r="B628" s="125"/>
      <c r="C628" s="126"/>
      <c r="D628" s="126"/>
      <c r="E628" s="127"/>
      <c r="F628" s="128"/>
      <c r="G628" s="126"/>
      <c r="H628" s="127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5"/>
      <c r="X628" s="126"/>
      <c r="Y628" s="126"/>
      <c r="Z628" s="126"/>
      <c r="AA628" s="126"/>
      <c r="AB628" s="126"/>
      <c r="AC628" s="126"/>
      <c r="AD628" s="126"/>
      <c r="AE628" s="127"/>
      <c r="AF628" s="126"/>
      <c r="AG628" s="126"/>
      <c r="AH628" s="127"/>
      <c r="AI628" s="126"/>
      <c r="AJ628" s="127"/>
      <c r="AK628" s="127"/>
      <c r="AL628" s="129"/>
      <c r="AM628" s="129"/>
      <c r="AN628" s="44"/>
      <c r="AO628" s="44"/>
    </row>
    <row r="629" spans="2:41" ht="15.5">
      <c r="B629" s="125"/>
      <c r="C629" s="126"/>
      <c r="D629" s="126"/>
      <c r="E629" s="127"/>
      <c r="F629" s="128"/>
      <c r="G629" s="126"/>
      <c r="H629" s="127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5"/>
      <c r="X629" s="126"/>
      <c r="Y629" s="126"/>
      <c r="Z629" s="126"/>
      <c r="AA629" s="126"/>
      <c r="AB629" s="126"/>
      <c r="AC629" s="126"/>
      <c r="AD629" s="126"/>
      <c r="AE629" s="127"/>
      <c r="AF629" s="126"/>
      <c r="AG629" s="126"/>
      <c r="AH629" s="127"/>
      <c r="AI629" s="126"/>
      <c r="AJ629" s="127"/>
      <c r="AK629" s="127"/>
      <c r="AL629" s="129"/>
      <c r="AM629" s="129"/>
      <c r="AN629" s="44"/>
      <c r="AO629" s="44"/>
    </row>
    <row r="630" spans="2:41" ht="15.5">
      <c r="B630" s="125"/>
      <c r="C630" s="126"/>
      <c r="D630" s="126"/>
      <c r="E630" s="127"/>
      <c r="F630" s="128"/>
      <c r="G630" s="126"/>
      <c r="H630" s="127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5"/>
      <c r="X630" s="126"/>
      <c r="Y630" s="126"/>
      <c r="Z630" s="126"/>
      <c r="AA630" s="126"/>
      <c r="AB630" s="126"/>
      <c r="AC630" s="126"/>
      <c r="AD630" s="126"/>
      <c r="AE630" s="127"/>
      <c r="AF630" s="126"/>
      <c r="AG630" s="126"/>
      <c r="AH630" s="127"/>
      <c r="AI630" s="126"/>
      <c r="AJ630" s="127"/>
      <c r="AK630" s="127"/>
      <c r="AL630" s="129"/>
      <c r="AM630" s="129"/>
      <c r="AN630" s="44"/>
      <c r="AO630" s="44"/>
    </row>
    <row r="631" spans="2:41" ht="15.5">
      <c r="B631" s="125"/>
      <c r="C631" s="126"/>
      <c r="D631" s="126"/>
      <c r="E631" s="127"/>
      <c r="F631" s="128"/>
      <c r="G631" s="126"/>
      <c r="H631" s="127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5"/>
      <c r="X631" s="126"/>
      <c r="Y631" s="126"/>
      <c r="Z631" s="126"/>
      <c r="AA631" s="126"/>
      <c r="AB631" s="126"/>
      <c r="AC631" s="126"/>
      <c r="AD631" s="126"/>
      <c r="AE631" s="127"/>
      <c r="AF631" s="126"/>
      <c r="AG631" s="126"/>
      <c r="AH631" s="127"/>
      <c r="AI631" s="126"/>
      <c r="AJ631" s="127"/>
      <c r="AK631" s="127"/>
      <c r="AL631" s="129"/>
      <c r="AM631" s="129"/>
      <c r="AN631" s="44"/>
      <c r="AO631" s="44"/>
    </row>
    <row r="632" spans="2:41" ht="15.5">
      <c r="B632" s="125"/>
      <c r="C632" s="126"/>
      <c r="D632" s="126"/>
      <c r="E632" s="127"/>
      <c r="F632" s="128"/>
      <c r="G632" s="126"/>
      <c r="H632" s="127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5"/>
      <c r="X632" s="126"/>
      <c r="Y632" s="126"/>
      <c r="Z632" s="126"/>
      <c r="AA632" s="126"/>
      <c r="AB632" s="126"/>
      <c r="AC632" s="126"/>
      <c r="AD632" s="126"/>
      <c r="AE632" s="127"/>
      <c r="AF632" s="126"/>
      <c r="AG632" s="126"/>
      <c r="AH632" s="127"/>
      <c r="AI632" s="126"/>
      <c r="AJ632" s="127"/>
      <c r="AK632" s="127"/>
      <c r="AL632" s="129"/>
      <c r="AM632" s="129"/>
      <c r="AN632" s="44"/>
      <c r="AO632" s="44"/>
    </row>
    <row r="633" spans="2:41" ht="15.5">
      <c r="B633" s="125"/>
      <c r="C633" s="126"/>
      <c r="D633" s="126"/>
      <c r="E633" s="127"/>
      <c r="F633" s="128"/>
      <c r="G633" s="126"/>
      <c r="H633" s="127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5"/>
      <c r="X633" s="126"/>
      <c r="Y633" s="126"/>
      <c r="Z633" s="126"/>
      <c r="AA633" s="126"/>
      <c r="AB633" s="126"/>
      <c r="AC633" s="126"/>
      <c r="AD633" s="126"/>
      <c r="AE633" s="127"/>
      <c r="AF633" s="126"/>
      <c r="AG633" s="126"/>
      <c r="AH633" s="127"/>
      <c r="AI633" s="126"/>
      <c r="AJ633" s="127"/>
      <c r="AK633" s="127"/>
      <c r="AL633" s="129"/>
      <c r="AM633" s="129"/>
      <c r="AN633" s="44"/>
      <c r="AO633" s="44"/>
    </row>
    <row r="634" spans="2:41" ht="15.5">
      <c r="B634" s="125"/>
      <c r="C634" s="126"/>
      <c r="D634" s="126"/>
      <c r="E634" s="127"/>
      <c r="F634" s="128"/>
      <c r="G634" s="126"/>
      <c r="H634" s="127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5"/>
      <c r="X634" s="126"/>
      <c r="Y634" s="126"/>
      <c r="Z634" s="126"/>
      <c r="AA634" s="126"/>
      <c r="AB634" s="126"/>
      <c r="AC634" s="126"/>
      <c r="AD634" s="126"/>
      <c r="AE634" s="127"/>
      <c r="AF634" s="126"/>
      <c r="AG634" s="126"/>
      <c r="AH634" s="127"/>
      <c r="AI634" s="126"/>
      <c r="AJ634" s="127"/>
      <c r="AK634" s="127"/>
      <c r="AL634" s="129"/>
      <c r="AM634" s="129"/>
      <c r="AN634" s="44"/>
      <c r="AO634" s="44"/>
    </row>
    <row r="635" spans="2:41" ht="15.5">
      <c r="B635" s="125"/>
      <c r="C635" s="126"/>
      <c r="D635" s="126"/>
      <c r="E635" s="127"/>
      <c r="F635" s="128"/>
      <c r="G635" s="126"/>
      <c r="H635" s="127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5"/>
      <c r="X635" s="126"/>
      <c r="Y635" s="126"/>
      <c r="Z635" s="126"/>
      <c r="AA635" s="126"/>
      <c r="AB635" s="126"/>
      <c r="AC635" s="126"/>
      <c r="AD635" s="126"/>
      <c r="AE635" s="127"/>
      <c r="AF635" s="126"/>
      <c r="AG635" s="126"/>
      <c r="AH635" s="127"/>
      <c r="AI635" s="126"/>
      <c r="AJ635" s="127"/>
      <c r="AK635" s="127"/>
      <c r="AL635" s="129"/>
      <c r="AM635" s="129"/>
      <c r="AN635" s="44"/>
      <c r="AO635" s="44"/>
    </row>
    <row r="636" spans="2:41" ht="15.5">
      <c r="B636" s="125"/>
      <c r="C636" s="126"/>
      <c r="D636" s="126"/>
      <c r="E636" s="127"/>
      <c r="F636" s="128"/>
      <c r="G636" s="126"/>
      <c r="H636" s="127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5"/>
      <c r="X636" s="126"/>
      <c r="Y636" s="126"/>
      <c r="Z636" s="126"/>
      <c r="AA636" s="126"/>
      <c r="AB636" s="126"/>
      <c r="AC636" s="126"/>
      <c r="AD636" s="126"/>
      <c r="AE636" s="127"/>
      <c r="AF636" s="126"/>
      <c r="AG636" s="126"/>
      <c r="AH636" s="127"/>
      <c r="AI636" s="126"/>
      <c r="AJ636" s="127"/>
      <c r="AK636" s="127"/>
      <c r="AL636" s="129"/>
      <c r="AM636" s="129"/>
      <c r="AN636" s="44"/>
      <c r="AO636" s="44"/>
    </row>
    <row r="637" spans="2:41" ht="15.5">
      <c r="B637" s="125"/>
      <c r="C637" s="126"/>
      <c r="D637" s="126"/>
      <c r="E637" s="127"/>
      <c r="F637" s="128"/>
      <c r="G637" s="126"/>
      <c r="H637" s="127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5"/>
      <c r="X637" s="126"/>
      <c r="Y637" s="126"/>
      <c r="Z637" s="126"/>
      <c r="AA637" s="126"/>
      <c r="AB637" s="126"/>
      <c r="AC637" s="126"/>
      <c r="AD637" s="126"/>
      <c r="AE637" s="127"/>
      <c r="AF637" s="126"/>
      <c r="AG637" s="126"/>
      <c r="AH637" s="127"/>
      <c r="AI637" s="126"/>
      <c r="AJ637" s="127"/>
      <c r="AK637" s="127"/>
      <c r="AL637" s="129"/>
      <c r="AM637" s="129"/>
      <c r="AN637" s="44"/>
      <c r="AO637" s="44"/>
    </row>
    <row r="638" spans="2:41" ht="15.5">
      <c r="B638" s="125"/>
      <c r="C638" s="126"/>
      <c r="D638" s="126"/>
      <c r="E638" s="127"/>
      <c r="F638" s="128"/>
      <c r="G638" s="126"/>
      <c r="H638" s="127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5"/>
      <c r="X638" s="126"/>
      <c r="Y638" s="126"/>
      <c r="Z638" s="126"/>
      <c r="AA638" s="126"/>
      <c r="AB638" s="126"/>
      <c r="AC638" s="126"/>
      <c r="AD638" s="126"/>
      <c r="AE638" s="127"/>
      <c r="AF638" s="126"/>
      <c r="AG638" s="126"/>
      <c r="AH638" s="127"/>
      <c r="AI638" s="126"/>
      <c r="AJ638" s="127"/>
      <c r="AK638" s="127"/>
      <c r="AL638" s="129"/>
      <c r="AM638" s="129"/>
      <c r="AN638" s="44"/>
      <c r="AO638" s="44"/>
    </row>
    <row r="639" spans="2:41" ht="15.5">
      <c r="B639" s="125"/>
      <c r="C639" s="126"/>
      <c r="D639" s="126"/>
      <c r="E639" s="127"/>
      <c r="F639" s="128"/>
      <c r="G639" s="126"/>
      <c r="H639" s="127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5"/>
      <c r="X639" s="126"/>
      <c r="Y639" s="126"/>
      <c r="Z639" s="126"/>
      <c r="AA639" s="126"/>
      <c r="AB639" s="126"/>
      <c r="AC639" s="126"/>
      <c r="AD639" s="126"/>
      <c r="AE639" s="127"/>
      <c r="AF639" s="126"/>
      <c r="AG639" s="126"/>
      <c r="AH639" s="127"/>
      <c r="AI639" s="126"/>
      <c r="AJ639" s="127"/>
      <c r="AK639" s="127"/>
      <c r="AL639" s="129"/>
      <c r="AM639" s="129"/>
      <c r="AN639" s="44"/>
      <c r="AO639" s="44"/>
    </row>
    <row r="640" spans="2:41" ht="15.5">
      <c r="B640" s="125"/>
      <c r="C640" s="126"/>
      <c r="D640" s="126"/>
      <c r="E640" s="127"/>
      <c r="F640" s="128"/>
      <c r="G640" s="126"/>
      <c r="H640" s="127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5"/>
      <c r="X640" s="126"/>
      <c r="Y640" s="126"/>
      <c r="Z640" s="126"/>
      <c r="AA640" s="126"/>
      <c r="AB640" s="126"/>
      <c r="AC640" s="126"/>
      <c r="AD640" s="126"/>
      <c r="AE640" s="127"/>
      <c r="AF640" s="126"/>
      <c r="AG640" s="126"/>
      <c r="AH640" s="127"/>
      <c r="AI640" s="126"/>
      <c r="AJ640" s="127"/>
      <c r="AK640" s="127"/>
      <c r="AL640" s="129"/>
      <c r="AM640" s="129"/>
      <c r="AN640" s="44"/>
      <c r="AO640" s="44"/>
    </row>
    <row r="641" spans="2:41" ht="15.5">
      <c r="B641" s="125"/>
      <c r="C641" s="126"/>
      <c r="D641" s="126"/>
      <c r="E641" s="127"/>
      <c r="F641" s="128"/>
      <c r="G641" s="126"/>
      <c r="H641" s="127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5"/>
      <c r="X641" s="126"/>
      <c r="Y641" s="126"/>
      <c r="Z641" s="126"/>
      <c r="AA641" s="126"/>
      <c r="AB641" s="126"/>
      <c r="AC641" s="126"/>
      <c r="AD641" s="126"/>
      <c r="AE641" s="127"/>
      <c r="AF641" s="126"/>
      <c r="AG641" s="126"/>
      <c r="AH641" s="127"/>
      <c r="AI641" s="126"/>
      <c r="AJ641" s="127"/>
      <c r="AK641" s="127"/>
      <c r="AL641" s="129"/>
      <c r="AM641" s="129"/>
      <c r="AN641" s="44"/>
      <c r="AO641" s="44"/>
    </row>
    <row r="642" spans="2:41" ht="15.5">
      <c r="B642" s="125"/>
      <c r="C642" s="126"/>
      <c r="D642" s="126"/>
      <c r="E642" s="127"/>
      <c r="F642" s="128"/>
      <c r="G642" s="126"/>
      <c r="H642" s="127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5"/>
      <c r="X642" s="126"/>
      <c r="Y642" s="126"/>
      <c r="Z642" s="126"/>
      <c r="AA642" s="126"/>
      <c r="AB642" s="126"/>
      <c r="AC642" s="126"/>
      <c r="AD642" s="126"/>
      <c r="AE642" s="127"/>
      <c r="AF642" s="126"/>
      <c r="AG642" s="126"/>
      <c r="AH642" s="127"/>
      <c r="AI642" s="126"/>
      <c r="AJ642" s="127"/>
      <c r="AK642" s="127"/>
      <c r="AL642" s="129"/>
      <c r="AM642" s="129"/>
      <c r="AN642" s="44"/>
      <c r="AO642" s="44"/>
    </row>
    <row r="643" spans="2:41" ht="15.5">
      <c r="B643" s="125"/>
      <c r="C643" s="126"/>
      <c r="D643" s="126"/>
      <c r="E643" s="127"/>
      <c r="F643" s="128"/>
      <c r="G643" s="126"/>
      <c r="H643" s="127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5"/>
      <c r="X643" s="126"/>
      <c r="Y643" s="126"/>
      <c r="Z643" s="126"/>
      <c r="AA643" s="126"/>
      <c r="AB643" s="126"/>
      <c r="AC643" s="126"/>
      <c r="AD643" s="126"/>
      <c r="AE643" s="127"/>
      <c r="AF643" s="126"/>
      <c r="AG643" s="126"/>
      <c r="AH643" s="127"/>
      <c r="AI643" s="126"/>
      <c r="AJ643" s="127"/>
      <c r="AK643" s="127"/>
      <c r="AL643" s="129"/>
      <c r="AM643" s="129"/>
      <c r="AN643" s="44"/>
      <c r="AO643" s="44"/>
    </row>
    <row r="644" spans="2:41" ht="15.5">
      <c r="B644" s="125"/>
      <c r="C644" s="126"/>
      <c r="D644" s="126"/>
      <c r="E644" s="127"/>
      <c r="F644" s="128"/>
      <c r="G644" s="126"/>
      <c r="H644" s="127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5"/>
      <c r="X644" s="126"/>
      <c r="Y644" s="126"/>
      <c r="Z644" s="126"/>
      <c r="AA644" s="126"/>
      <c r="AB644" s="126"/>
      <c r="AC644" s="126"/>
      <c r="AD644" s="126"/>
      <c r="AE644" s="127"/>
      <c r="AF644" s="126"/>
      <c r="AG644" s="126"/>
      <c r="AH644" s="127"/>
      <c r="AI644" s="126"/>
      <c r="AJ644" s="127"/>
      <c r="AK644" s="127"/>
      <c r="AL644" s="129"/>
      <c r="AM644" s="129"/>
      <c r="AN644" s="44"/>
      <c r="AO644" s="44"/>
    </row>
    <row r="645" spans="2:41" ht="15.5">
      <c r="B645" s="125"/>
      <c r="C645" s="126"/>
      <c r="D645" s="126"/>
      <c r="E645" s="127"/>
      <c r="F645" s="128"/>
      <c r="G645" s="126"/>
      <c r="H645" s="127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5"/>
      <c r="X645" s="126"/>
      <c r="Y645" s="126"/>
      <c r="Z645" s="126"/>
      <c r="AA645" s="126"/>
      <c r="AB645" s="126"/>
      <c r="AC645" s="126"/>
      <c r="AD645" s="126"/>
      <c r="AE645" s="127"/>
      <c r="AF645" s="126"/>
      <c r="AG645" s="126"/>
      <c r="AH645" s="127"/>
      <c r="AI645" s="126"/>
      <c r="AJ645" s="127"/>
      <c r="AK645" s="127"/>
      <c r="AL645" s="129"/>
      <c r="AM645" s="129"/>
      <c r="AN645" s="44"/>
      <c r="AO645" s="44"/>
    </row>
    <row r="646" spans="2:41" ht="15.5">
      <c r="B646" s="125"/>
      <c r="C646" s="126"/>
      <c r="D646" s="126"/>
      <c r="E646" s="127"/>
      <c r="F646" s="128"/>
      <c r="G646" s="126"/>
      <c r="H646" s="127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5"/>
      <c r="X646" s="126"/>
      <c r="Y646" s="126"/>
      <c r="Z646" s="126"/>
      <c r="AA646" s="126"/>
      <c r="AB646" s="126"/>
      <c r="AC646" s="126"/>
      <c r="AD646" s="126"/>
      <c r="AE646" s="127"/>
      <c r="AF646" s="126"/>
      <c r="AG646" s="126"/>
      <c r="AH646" s="127"/>
      <c r="AI646" s="126"/>
      <c r="AJ646" s="127"/>
      <c r="AK646" s="127"/>
      <c r="AL646" s="129"/>
      <c r="AM646" s="129"/>
      <c r="AN646" s="44"/>
      <c r="AO646" s="44"/>
    </row>
    <row r="647" spans="2:41" ht="15.5">
      <c r="B647" s="125"/>
      <c r="C647" s="126"/>
      <c r="D647" s="126"/>
      <c r="E647" s="127"/>
      <c r="F647" s="128"/>
      <c r="G647" s="126"/>
      <c r="H647" s="127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5"/>
      <c r="X647" s="126"/>
      <c r="Y647" s="126"/>
      <c r="Z647" s="126"/>
      <c r="AA647" s="126"/>
      <c r="AB647" s="126"/>
      <c r="AC647" s="126"/>
      <c r="AD647" s="126"/>
      <c r="AE647" s="127"/>
      <c r="AF647" s="126"/>
      <c r="AG647" s="126"/>
      <c r="AH647" s="127"/>
      <c r="AI647" s="126"/>
      <c r="AJ647" s="127"/>
      <c r="AK647" s="127"/>
      <c r="AL647" s="129"/>
      <c r="AM647" s="129"/>
      <c r="AN647" s="44"/>
      <c r="AO647" s="44"/>
    </row>
    <row r="648" spans="2:41" ht="15.5">
      <c r="B648" s="125"/>
      <c r="C648" s="126"/>
      <c r="D648" s="126"/>
      <c r="E648" s="127"/>
      <c r="F648" s="128"/>
      <c r="G648" s="126"/>
      <c r="H648" s="127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5"/>
      <c r="X648" s="126"/>
      <c r="Y648" s="126"/>
      <c r="Z648" s="126"/>
      <c r="AA648" s="126"/>
      <c r="AB648" s="126"/>
      <c r="AC648" s="126"/>
      <c r="AD648" s="126"/>
      <c r="AE648" s="127"/>
      <c r="AF648" s="126"/>
      <c r="AG648" s="126"/>
      <c r="AH648" s="127"/>
      <c r="AI648" s="126"/>
      <c r="AJ648" s="127"/>
      <c r="AK648" s="127"/>
      <c r="AL648" s="129"/>
      <c r="AM648" s="129"/>
      <c r="AN648" s="44"/>
      <c r="AO648" s="44"/>
    </row>
    <row r="649" spans="2:41" ht="15.5">
      <c r="B649" s="125"/>
      <c r="C649" s="126"/>
      <c r="D649" s="126"/>
      <c r="E649" s="127"/>
      <c r="F649" s="128"/>
      <c r="G649" s="126"/>
      <c r="H649" s="127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5"/>
      <c r="X649" s="126"/>
      <c r="Y649" s="126"/>
      <c r="Z649" s="126"/>
      <c r="AA649" s="126"/>
      <c r="AB649" s="126"/>
      <c r="AC649" s="126"/>
      <c r="AD649" s="126"/>
      <c r="AE649" s="127"/>
      <c r="AF649" s="126"/>
      <c r="AG649" s="126"/>
      <c r="AH649" s="127"/>
      <c r="AI649" s="126"/>
      <c r="AJ649" s="127"/>
      <c r="AK649" s="127"/>
      <c r="AL649" s="129"/>
      <c r="AM649" s="129"/>
      <c r="AN649" s="44"/>
      <c r="AO649" s="44"/>
    </row>
    <row r="650" spans="2:41" ht="15.5">
      <c r="B650" s="125"/>
      <c r="C650" s="126"/>
      <c r="D650" s="126"/>
      <c r="E650" s="127"/>
      <c r="F650" s="128"/>
      <c r="G650" s="126"/>
      <c r="H650" s="127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5"/>
      <c r="X650" s="126"/>
      <c r="Y650" s="126"/>
      <c r="Z650" s="126"/>
      <c r="AA650" s="126"/>
      <c r="AB650" s="126"/>
      <c r="AC650" s="126"/>
      <c r="AD650" s="126"/>
      <c r="AE650" s="127"/>
      <c r="AF650" s="126"/>
      <c r="AG650" s="126"/>
      <c r="AH650" s="127"/>
      <c r="AI650" s="126"/>
      <c r="AJ650" s="127"/>
      <c r="AK650" s="127"/>
      <c r="AL650" s="129"/>
      <c r="AM650" s="129"/>
      <c r="AN650" s="44"/>
      <c r="AO650" s="44"/>
    </row>
    <row r="651" spans="2:41" ht="15.5">
      <c r="B651" s="125"/>
      <c r="C651" s="126"/>
      <c r="D651" s="126"/>
      <c r="E651" s="127"/>
      <c r="F651" s="128"/>
      <c r="G651" s="126"/>
      <c r="H651" s="127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5"/>
      <c r="X651" s="126"/>
      <c r="Y651" s="126"/>
      <c r="Z651" s="126"/>
      <c r="AA651" s="126"/>
      <c r="AB651" s="126"/>
      <c r="AC651" s="126"/>
      <c r="AD651" s="126"/>
      <c r="AE651" s="127"/>
      <c r="AF651" s="126"/>
      <c r="AG651" s="126"/>
      <c r="AH651" s="127"/>
      <c r="AI651" s="126"/>
      <c r="AJ651" s="127"/>
      <c r="AK651" s="127"/>
      <c r="AL651" s="129"/>
      <c r="AM651" s="129"/>
      <c r="AN651" s="44"/>
      <c r="AO651" s="44"/>
    </row>
    <row r="652" spans="2:41" ht="15.5">
      <c r="B652" s="125"/>
      <c r="C652" s="126"/>
      <c r="D652" s="126"/>
      <c r="E652" s="127"/>
      <c r="F652" s="128"/>
      <c r="G652" s="126"/>
      <c r="H652" s="127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5"/>
      <c r="X652" s="126"/>
      <c r="Y652" s="126"/>
      <c r="Z652" s="126"/>
      <c r="AA652" s="126"/>
      <c r="AB652" s="126"/>
      <c r="AC652" s="126"/>
      <c r="AD652" s="126"/>
      <c r="AE652" s="127"/>
      <c r="AF652" s="126"/>
      <c r="AG652" s="126"/>
      <c r="AH652" s="127"/>
      <c r="AI652" s="126"/>
      <c r="AJ652" s="127"/>
      <c r="AK652" s="127"/>
      <c r="AL652" s="129"/>
      <c r="AM652" s="129"/>
      <c r="AN652" s="44"/>
      <c r="AO652" s="44"/>
    </row>
    <row r="653" spans="2:41" ht="15.5">
      <c r="B653" s="125"/>
      <c r="C653" s="126"/>
      <c r="D653" s="126"/>
      <c r="E653" s="127"/>
      <c r="F653" s="128"/>
      <c r="G653" s="126"/>
      <c r="H653" s="127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5"/>
      <c r="X653" s="126"/>
      <c r="Y653" s="126"/>
      <c r="Z653" s="126"/>
      <c r="AA653" s="126"/>
      <c r="AB653" s="126"/>
      <c r="AC653" s="126"/>
      <c r="AD653" s="126"/>
      <c r="AE653" s="127"/>
      <c r="AF653" s="126"/>
      <c r="AG653" s="126"/>
      <c r="AH653" s="127"/>
      <c r="AI653" s="126"/>
      <c r="AJ653" s="127"/>
      <c r="AK653" s="127"/>
      <c r="AL653" s="129"/>
      <c r="AM653" s="129"/>
      <c r="AN653" s="44"/>
      <c r="AO653" s="44"/>
    </row>
    <row r="654" spans="2:41" ht="15.5">
      <c r="B654" s="125"/>
      <c r="C654" s="126"/>
      <c r="D654" s="126"/>
      <c r="E654" s="127"/>
      <c r="F654" s="128"/>
      <c r="G654" s="126"/>
      <c r="H654" s="127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5"/>
      <c r="X654" s="126"/>
      <c r="Y654" s="126"/>
      <c r="Z654" s="126"/>
      <c r="AA654" s="126"/>
      <c r="AB654" s="126"/>
      <c r="AC654" s="126"/>
      <c r="AD654" s="126"/>
      <c r="AE654" s="127"/>
      <c r="AF654" s="126"/>
      <c r="AG654" s="126"/>
      <c r="AH654" s="127"/>
      <c r="AI654" s="126"/>
      <c r="AJ654" s="127"/>
      <c r="AK654" s="127"/>
      <c r="AL654" s="129"/>
      <c r="AM654" s="129"/>
      <c r="AN654" s="44"/>
      <c r="AO654" s="44"/>
    </row>
    <row r="655" spans="2:41" ht="15.5">
      <c r="B655" s="125"/>
      <c r="C655" s="126"/>
      <c r="D655" s="126"/>
      <c r="E655" s="127"/>
      <c r="F655" s="128"/>
      <c r="G655" s="126"/>
      <c r="H655" s="127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5"/>
      <c r="X655" s="126"/>
      <c r="Y655" s="126"/>
      <c r="Z655" s="126"/>
      <c r="AA655" s="126"/>
      <c r="AB655" s="126"/>
      <c r="AC655" s="126"/>
      <c r="AD655" s="126"/>
      <c r="AE655" s="127"/>
      <c r="AF655" s="126"/>
      <c r="AG655" s="126"/>
      <c r="AH655" s="127"/>
      <c r="AI655" s="126"/>
      <c r="AJ655" s="127"/>
      <c r="AK655" s="127"/>
      <c r="AL655" s="129"/>
      <c r="AM655" s="129"/>
      <c r="AN655" s="44"/>
      <c r="AO655" s="44"/>
    </row>
    <row r="656" spans="2:41" ht="15.5">
      <c r="B656" s="125"/>
      <c r="C656" s="126"/>
      <c r="D656" s="126"/>
      <c r="E656" s="127"/>
      <c r="F656" s="128"/>
      <c r="G656" s="126"/>
      <c r="H656" s="127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5"/>
      <c r="X656" s="126"/>
      <c r="Y656" s="126"/>
      <c r="Z656" s="126"/>
      <c r="AA656" s="126"/>
      <c r="AB656" s="126"/>
      <c r="AC656" s="126"/>
      <c r="AD656" s="126"/>
      <c r="AE656" s="127"/>
      <c r="AF656" s="126"/>
      <c r="AG656" s="126"/>
      <c r="AH656" s="127"/>
      <c r="AI656" s="126"/>
      <c r="AJ656" s="127"/>
      <c r="AK656" s="127"/>
      <c r="AL656" s="129"/>
      <c r="AM656" s="129"/>
      <c r="AN656" s="44"/>
      <c r="AO656" s="44"/>
    </row>
    <row r="657" spans="2:41" ht="15.5">
      <c r="B657" s="125"/>
      <c r="C657" s="126"/>
      <c r="D657" s="126"/>
      <c r="E657" s="127"/>
      <c r="F657" s="128"/>
      <c r="G657" s="126"/>
      <c r="H657" s="127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5"/>
      <c r="X657" s="126"/>
      <c r="Y657" s="126"/>
      <c r="Z657" s="126"/>
      <c r="AA657" s="126"/>
      <c r="AB657" s="126"/>
      <c r="AC657" s="126"/>
      <c r="AD657" s="126"/>
      <c r="AE657" s="127"/>
      <c r="AF657" s="126"/>
      <c r="AG657" s="126"/>
      <c r="AH657" s="127"/>
      <c r="AI657" s="126"/>
      <c r="AJ657" s="127"/>
      <c r="AK657" s="127"/>
      <c r="AL657" s="129"/>
      <c r="AM657" s="129"/>
      <c r="AN657" s="44"/>
      <c r="AO657" s="44"/>
    </row>
    <row r="658" spans="2:41" ht="15.5">
      <c r="B658" s="125"/>
      <c r="C658" s="126"/>
      <c r="D658" s="126"/>
      <c r="E658" s="127"/>
      <c r="F658" s="128"/>
      <c r="G658" s="126"/>
      <c r="H658" s="127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5"/>
      <c r="X658" s="126"/>
      <c r="Y658" s="126"/>
      <c r="Z658" s="126"/>
      <c r="AA658" s="126"/>
      <c r="AB658" s="126"/>
      <c r="AC658" s="126"/>
      <c r="AD658" s="126"/>
      <c r="AE658" s="127"/>
      <c r="AF658" s="126"/>
      <c r="AG658" s="126"/>
      <c r="AH658" s="127"/>
      <c r="AI658" s="126"/>
      <c r="AJ658" s="127"/>
      <c r="AK658" s="127"/>
      <c r="AL658" s="129"/>
      <c r="AM658" s="129"/>
      <c r="AN658" s="44"/>
      <c r="AO658" s="44"/>
    </row>
    <row r="659" spans="2:41" ht="15.5">
      <c r="B659" s="125"/>
      <c r="C659" s="126"/>
      <c r="D659" s="126"/>
      <c r="E659" s="127"/>
      <c r="F659" s="128"/>
      <c r="G659" s="126"/>
      <c r="H659" s="127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5"/>
      <c r="X659" s="126"/>
      <c r="Y659" s="126"/>
      <c r="Z659" s="126"/>
      <c r="AA659" s="126"/>
      <c r="AB659" s="126"/>
      <c r="AC659" s="126"/>
      <c r="AD659" s="126"/>
      <c r="AE659" s="127"/>
      <c r="AF659" s="126"/>
      <c r="AG659" s="126"/>
      <c r="AH659" s="127"/>
      <c r="AI659" s="126"/>
      <c r="AJ659" s="127"/>
      <c r="AK659" s="127"/>
      <c r="AL659" s="129"/>
      <c r="AM659" s="129"/>
      <c r="AN659" s="44"/>
      <c r="AO659" s="44"/>
    </row>
    <row r="660" spans="2:41" ht="15.5">
      <c r="B660" s="125"/>
      <c r="C660" s="126"/>
      <c r="D660" s="126"/>
      <c r="E660" s="127"/>
      <c r="F660" s="128"/>
      <c r="G660" s="126"/>
      <c r="H660" s="127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5"/>
      <c r="X660" s="126"/>
      <c r="Y660" s="126"/>
      <c r="Z660" s="126"/>
      <c r="AA660" s="126"/>
      <c r="AB660" s="126"/>
      <c r="AC660" s="126"/>
      <c r="AD660" s="126"/>
      <c r="AE660" s="127"/>
      <c r="AF660" s="126"/>
      <c r="AG660" s="126"/>
      <c r="AH660" s="127"/>
      <c r="AI660" s="126"/>
      <c r="AJ660" s="127"/>
      <c r="AK660" s="127"/>
      <c r="AL660" s="129"/>
      <c r="AM660" s="129"/>
      <c r="AN660" s="44"/>
      <c r="AO660" s="44"/>
    </row>
    <row r="661" spans="2:41" ht="15.5">
      <c r="B661" s="125"/>
      <c r="C661" s="126"/>
      <c r="D661" s="126"/>
      <c r="E661" s="127"/>
      <c r="F661" s="128"/>
      <c r="G661" s="126"/>
      <c r="H661" s="127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5"/>
      <c r="X661" s="126"/>
      <c r="Y661" s="126"/>
      <c r="Z661" s="126"/>
      <c r="AA661" s="126"/>
      <c r="AB661" s="126"/>
      <c r="AC661" s="126"/>
      <c r="AD661" s="126"/>
      <c r="AE661" s="127"/>
      <c r="AF661" s="126"/>
      <c r="AG661" s="126"/>
      <c r="AH661" s="127"/>
      <c r="AI661" s="126"/>
      <c r="AJ661" s="127"/>
      <c r="AK661" s="127"/>
      <c r="AL661" s="129"/>
      <c r="AM661" s="129"/>
      <c r="AN661" s="44"/>
      <c r="AO661" s="44"/>
    </row>
    <row r="662" spans="2:41" ht="15.5">
      <c r="B662" s="125"/>
      <c r="C662" s="126"/>
      <c r="D662" s="126"/>
      <c r="E662" s="127"/>
      <c r="F662" s="128"/>
      <c r="G662" s="126"/>
      <c r="H662" s="127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5"/>
      <c r="X662" s="126"/>
      <c r="Y662" s="126"/>
      <c r="Z662" s="126"/>
      <c r="AA662" s="126"/>
      <c r="AB662" s="126"/>
      <c r="AC662" s="126"/>
      <c r="AD662" s="126"/>
      <c r="AE662" s="127"/>
      <c r="AF662" s="126"/>
      <c r="AG662" s="126"/>
      <c r="AH662" s="127"/>
      <c r="AI662" s="126"/>
      <c r="AJ662" s="127"/>
      <c r="AK662" s="127"/>
      <c r="AL662" s="129"/>
      <c r="AM662" s="129"/>
      <c r="AN662" s="44"/>
      <c r="AO662" s="44"/>
    </row>
    <row r="663" spans="2:41" ht="15.5">
      <c r="B663" s="125"/>
      <c r="C663" s="126"/>
      <c r="D663" s="126"/>
      <c r="E663" s="127"/>
      <c r="F663" s="128"/>
      <c r="G663" s="126"/>
      <c r="H663" s="127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5"/>
      <c r="X663" s="126"/>
      <c r="Y663" s="126"/>
      <c r="Z663" s="126"/>
      <c r="AA663" s="126"/>
      <c r="AB663" s="126"/>
      <c r="AC663" s="126"/>
      <c r="AD663" s="126"/>
      <c r="AE663" s="127"/>
      <c r="AF663" s="126"/>
      <c r="AG663" s="126"/>
      <c r="AH663" s="127"/>
      <c r="AI663" s="126"/>
      <c r="AJ663" s="127"/>
      <c r="AK663" s="127"/>
      <c r="AL663" s="129"/>
      <c r="AM663" s="129"/>
      <c r="AN663" s="44"/>
      <c r="AO663" s="44"/>
    </row>
    <row r="664" spans="2:41" ht="15.5">
      <c r="B664" s="125"/>
      <c r="C664" s="126"/>
      <c r="D664" s="126"/>
      <c r="E664" s="127"/>
      <c r="F664" s="128"/>
      <c r="G664" s="126"/>
      <c r="H664" s="127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5"/>
      <c r="X664" s="126"/>
      <c r="Y664" s="126"/>
      <c r="Z664" s="126"/>
      <c r="AA664" s="126"/>
      <c r="AB664" s="126"/>
      <c r="AC664" s="126"/>
      <c r="AD664" s="126"/>
      <c r="AE664" s="127"/>
      <c r="AF664" s="126"/>
      <c r="AG664" s="126"/>
      <c r="AH664" s="127"/>
      <c r="AI664" s="126"/>
      <c r="AJ664" s="127"/>
      <c r="AK664" s="127"/>
      <c r="AL664" s="129"/>
      <c r="AM664" s="129"/>
      <c r="AN664" s="44"/>
      <c r="AO664" s="44"/>
    </row>
    <row r="665" spans="2:41" ht="15.5">
      <c r="B665" s="125"/>
      <c r="C665" s="126"/>
      <c r="D665" s="126"/>
      <c r="E665" s="127"/>
      <c r="F665" s="128"/>
      <c r="G665" s="126"/>
      <c r="H665" s="127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5"/>
      <c r="X665" s="126"/>
      <c r="Y665" s="126"/>
      <c r="Z665" s="126"/>
      <c r="AA665" s="126"/>
      <c r="AB665" s="126"/>
      <c r="AC665" s="126"/>
      <c r="AD665" s="126"/>
      <c r="AE665" s="127"/>
      <c r="AF665" s="126"/>
      <c r="AG665" s="126"/>
      <c r="AH665" s="127"/>
      <c r="AI665" s="126"/>
      <c r="AJ665" s="127"/>
      <c r="AK665" s="127"/>
      <c r="AL665" s="129"/>
      <c r="AM665" s="129"/>
      <c r="AN665" s="44"/>
      <c r="AO665" s="44"/>
    </row>
    <row r="666" spans="2:41" ht="15.5">
      <c r="B666" s="125"/>
      <c r="C666" s="126"/>
      <c r="D666" s="126"/>
      <c r="E666" s="127"/>
      <c r="F666" s="128"/>
      <c r="G666" s="126"/>
      <c r="H666" s="127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5"/>
      <c r="X666" s="126"/>
      <c r="Y666" s="126"/>
      <c r="Z666" s="126"/>
      <c r="AA666" s="126"/>
      <c r="AB666" s="126"/>
      <c r="AC666" s="126"/>
      <c r="AD666" s="126"/>
      <c r="AE666" s="127"/>
      <c r="AF666" s="126"/>
      <c r="AG666" s="126"/>
      <c r="AH666" s="127"/>
      <c r="AI666" s="126"/>
      <c r="AJ666" s="127"/>
      <c r="AK666" s="127"/>
      <c r="AL666" s="129"/>
      <c r="AM666" s="129"/>
      <c r="AN666" s="44"/>
      <c r="AO666" s="44"/>
    </row>
    <row r="667" spans="2:41" ht="15.5">
      <c r="B667" s="125"/>
      <c r="C667" s="126"/>
      <c r="D667" s="126"/>
      <c r="E667" s="127"/>
      <c r="F667" s="128"/>
      <c r="G667" s="126"/>
      <c r="H667" s="127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5"/>
      <c r="X667" s="126"/>
      <c r="Y667" s="126"/>
      <c r="Z667" s="126"/>
      <c r="AA667" s="126"/>
      <c r="AB667" s="126"/>
      <c r="AC667" s="126"/>
      <c r="AD667" s="126"/>
      <c r="AE667" s="127"/>
      <c r="AF667" s="126"/>
      <c r="AG667" s="126"/>
      <c r="AH667" s="127"/>
      <c r="AI667" s="126"/>
      <c r="AJ667" s="127"/>
      <c r="AK667" s="127"/>
      <c r="AL667" s="129"/>
      <c r="AM667" s="129"/>
      <c r="AN667" s="44"/>
      <c r="AO667" s="44"/>
    </row>
    <row r="668" spans="2:41" ht="15.5">
      <c r="B668" s="125"/>
      <c r="C668" s="126"/>
      <c r="D668" s="126"/>
      <c r="E668" s="127"/>
      <c r="F668" s="128"/>
      <c r="G668" s="126"/>
      <c r="H668" s="127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5"/>
      <c r="X668" s="126"/>
      <c r="Y668" s="126"/>
      <c r="Z668" s="126"/>
      <c r="AA668" s="126"/>
      <c r="AB668" s="126"/>
      <c r="AC668" s="126"/>
      <c r="AD668" s="126"/>
      <c r="AE668" s="127"/>
      <c r="AF668" s="126"/>
      <c r="AG668" s="126"/>
      <c r="AH668" s="127"/>
      <c r="AI668" s="126"/>
      <c r="AJ668" s="127"/>
      <c r="AK668" s="127"/>
      <c r="AL668" s="129"/>
      <c r="AM668" s="129"/>
      <c r="AN668" s="44"/>
      <c r="AO668" s="44"/>
    </row>
    <row r="669" spans="2:41" ht="15.5">
      <c r="B669" s="125"/>
      <c r="C669" s="126"/>
      <c r="D669" s="126"/>
      <c r="E669" s="127"/>
      <c r="F669" s="128"/>
      <c r="G669" s="126"/>
      <c r="H669" s="127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5"/>
      <c r="X669" s="126"/>
      <c r="Y669" s="126"/>
      <c r="Z669" s="126"/>
      <c r="AA669" s="126"/>
      <c r="AB669" s="126"/>
      <c r="AC669" s="126"/>
      <c r="AD669" s="126"/>
      <c r="AE669" s="127"/>
      <c r="AF669" s="126"/>
      <c r="AG669" s="126"/>
      <c r="AH669" s="127"/>
      <c r="AI669" s="126"/>
      <c r="AJ669" s="127"/>
      <c r="AK669" s="127"/>
      <c r="AL669" s="129"/>
      <c r="AM669" s="129"/>
      <c r="AN669" s="44"/>
      <c r="AO669" s="44"/>
    </row>
    <row r="670" spans="2:41" ht="15.5">
      <c r="B670" s="125"/>
      <c r="C670" s="126"/>
      <c r="D670" s="126"/>
      <c r="E670" s="127"/>
      <c r="F670" s="128"/>
      <c r="G670" s="126"/>
      <c r="H670" s="127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5"/>
      <c r="X670" s="126"/>
      <c r="Y670" s="126"/>
      <c r="Z670" s="126"/>
      <c r="AA670" s="126"/>
      <c r="AB670" s="126"/>
      <c r="AC670" s="126"/>
      <c r="AD670" s="126"/>
      <c r="AE670" s="127"/>
      <c r="AF670" s="126"/>
      <c r="AG670" s="126"/>
      <c r="AH670" s="127"/>
      <c r="AI670" s="126"/>
      <c r="AJ670" s="127"/>
      <c r="AK670" s="127"/>
      <c r="AL670" s="129"/>
      <c r="AM670" s="129"/>
      <c r="AN670" s="44"/>
      <c r="AO670" s="44"/>
    </row>
    <row r="671" spans="2:41" ht="15.5">
      <c r="B671" s="125"/>
      <c r="C671" s="126"/>
      <c r="D671" s="126"/>
      <c r="E671" s="127"/>
      <c r="F671" s="128"/>
      <c r="G671" s="126"/>
      <c r="H671" s="127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5"/>
      <c r="X671" s="126"/>
      <c r="Y671" s="126"/>
      <c r="Z671" s="126"/>
      <c r="AA671" s="126"/>
      <c r="AB671" s="126"/>
      <c r="AC671" s="126"/>
      <c r="AD671" s="126"/>
      <c r="AE671" s="127"/>
      <c r="AF671" s="126"/>
      <c r="AG671" s="126"/>
      <c r="AH671" s="127"/>
      <c r="AI671" s="126"/>
      <c r="AJ671" s="127"/>
      <c r="AK671" s="127"/>
      <c r="AL671" s="129"/>
      <c r="AM671" s="129"/>
      <c r="AN671" s="44"/>
      <c r="AO671" s="44"/>
    </row>
    <row r="672" spans="2:41" ht="15.5">
      <c r="B672" s="125"/>
      <c r="C672" s="126"/>
      <c r="D672" s="126"/>
      <c r="E672" s="127"/>
      <c r="F672" s="128"/>
      <c r="G672" s="126"/>
      <c r="H672" s="127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5"/>
      <c r="X672" s="126"/>
      <c r="Y672" s="126"/>
      <c r="Z672" s="126"/>
      <c r="AA672" s="126"/>
      <c r="AB672" s="126"/>
      <c r="AC672" s="126"/>
      <c r="AD672" s="126"/>
      <c r="AE672" s="127"/>
      <c r="AF672" s="126"/>
      <c r="AG672" s="126"/>
      <c r="AH672" s="127"/>
      <c r="AI672" s="126"/>
      <c r="AJ672" s="127"/>
      <c r="AK672" s="127"/>
      <c r="AL672" s="129"/>
      <c r="AM672" s="129"/>
      <c r="AN672" s="44"/>
      <c r="AO672" s="44"/>
    </row>
    <row r="673" spans="2:41" ht="15.5">
      <c r="B673" s="125"/>
      <c r="C673" s="126"/>
      <c r="D673" s="126"/>
      <c r="E673" s="127"/>
      <c r="F673" s="128"/>
      <c r="G673" s="126"/>
      <c r="H673" s="127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5"/>
      <c r="X673" s="126"/>
      <c r="Y673" s="126"/>
      <c r="Z673" s="126"/>
      <c r="AA673" s="126"/>
      <c r="AB673" s="126"/>
      <c r="AC673" s="126"/>
      <c r="AD673" s="126"/>
      <c r="AE673" s="127"/>
      <c r="AF673" s="126"/>
      <c r="AG673" s="126"/>
      <c r="AH673" s="127"/>
      <c r="AI673" s="126"/>
      <c r="AJ673" s="127"/>
      <c r="AK673" s="127"/>
      <c r="AL673" s="129"/>
      <c r="AM673" s="129"/>
      <c r="AN673" s="44"/>
      <c r="AO673" s="44"/>
    </row>
    <row r="674" spans="2:41" ht="15.5">
      <c r="B674" s="125"/>
      <c r="C674" s="126"/>
      <c r="D674" s="126"/>
      <c r="E674" s="127"/>
      <c r="F674" s="128"/>
      <c r="G674" s="126"/>
      <c r="H674" s="127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5"/>
      <c r="X674" s="126"/>
      <c r="Y674" s="126"/>
      <c r="Z674" s="126"/>
      <c r="AA674" s="126"/>
      <c r="AB674" s="126"/>
      <c r="AC674" s="126"/>
      <c r="AD674" s="126"/>
      <c r="AE674" s="127"/>
      <c r="AF674" s="126"/>
      <c r="AG674" s="126"/>
      <c r="AH674" s="127"/>
      <c r="AI674" s="126"/>
      <c r="AJ674" s="127"/>
      <c r="AK674" s="127"/>
      <c r="AL674" s="129"/>
      <c r="AM674" s="129"/>
      <c r="AN674" s="44"/>
      <c r="AO674" s="44"/>
    </row>
    <row r="675" spans="2:41" ht="15.5">
      <c r="B675" s="125"/>
      <c r="C675" s="126"/>
      <c r="D675" s="126"/>
      <c r="E675" s="127"/>
      <c r="F675" s="128"/>
      <c r="G675" s="126"/>
      <c r="H675" s="127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5"/>
      <c r="X675" s="126"/>
      <c r="Y675" s="126"/>
      <c r="Z675" s="126"/>
      <c r="AA675" s="126"/>
      <c r="AB675" s="126"/>
      <c r="AC675" s="126"/>
      <c r="AD675" s="126"/>
      <c r="AE675" s="127"/>
      <c r="AF675" s="126"/>
      <c r="AG675" s="126"/>
      <c r="AH675" s="127"/>
      <c r="AI675" s="126"/>
      <c r="AJ675" s="127"/>
      <c r="AK675" s="127"/>
      <c r="AL675" s="129"/>
      <c r="AM675" s="129"/>
      <c r="AN675" s="44"/>
      <c r="AO675" s="44"/>
    </row>
    <row r="676" spans="2:41" ht="15.5">
      <c r="B676" s="125"/>
      <c r="C676" s="126"/>
      <c r="D676" s="126"/>
      <c r="E676" s="127"/>
      <c r="F676" s="128"/>
      <c r="G676" s="126"/>
      <c r="H676" s="127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5"/>
      <c r="X676" s="126"/>
      <c r="Y676" s="126"/>
      <c r="Z676" s="126"/>
      <c r="AA676" s="126"/>
      <c r="AB676" s="126"/>
      <c r="AC676" s="126"/>
      <c r="AD676" s="126"/>
      <c r="AE676" s="127"/>
      <c r="AF676" s="126"/>
      <c r="AG676" s="126"/>
      <c r="AH676" s="127"/>
      <c r="AI676" s="126"/>
      <c r="AJ676" s="127"/>
      <c r="AK676" s="127"/>
      <c r="AL676" s="129"/>
      <c r="AM676" s="129"/>
      <c r="AN676" s="44"/>
      <c r="AO676" s="44"/>
    </row>
    <row r="677" spans="2:41" ht="15.5">
      <c r="B677" s="125"/>
      <c r="C677" s="126"/>
      <c r="D677" s="126"/>
      <c r="E677" s="127"/>
      <c r="F677" s="128"/>
      <c r="G677" s="126"/>
      <c r="H677" s="127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5"/>
      <c r="X677" s="126"/>
      <c r="Y677" s="126"/>
      <c r="Z677" s="126"/>
      <c r="AA677" s="126"/>
      <c r="AB677" s="126"/>
      <c r="AC677" s="126"/>
      <c r="AD677" s="126"/>
      <c r="AE677" s="127"/>
      <c r="AF677" s="126"/>
      <c r="AG677" s="126"/>
      <c r="AH677" s="127"/>
      <c r="AI677" s="126"/>
      <c r="AJ677" s="127"/>
      <c r="AK677" s="127"/>
      <c r="AL677" s="129"/>
      <c r="AM677" s="129"/>
      <c r="AN677" s="44"/>
      <c r="AO677" s="44"/>
    </row>
    <row r="678" spans="2:41" ht="15.5">
      <c r="B678" s="125"/>
      <c r="C678" s="126"/>
      <c r="D678" s="126"/>
      <c r="E678" s="127"/>
      <c r="F678" s="128"/>
      <c r="G678" s="126"/>
      <c r="H678" s="127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5"/>
      <c r="X678" s="126"/>
      <c r="Y678" s="126"/>
      <c r="Z678" s="126"/>
      <c r="AA678" s="126"/>
      <c r="AB678" s="126"/>
      <c r="AC678" s="126"/>
      <c r="AD678" s="126"/>
      <c r="AE678" s="127"/>
      <c r="AF678" s="126"/>
      <c r="AG678" s="126"/>
      <c r="AH678" s="127"/>
      <c r="AI678" s="126"/>
      <c r="AJ678" s="127"/>
      <c r="AK678" s="127"/>
      <c r="AL678" s="129"/>
      <c r="AM678" s="129"/>
      <c r="AN678" s="44"/>
      <c r="AO678" s="44"/>
    </row>
    <row r="679" spans="2:41" ht="15.5">
      <c r="B679" s="125"/>
      <c r="C679" s="126"/>
      <c r="D679" s="126"/>
      <c r="E679" s="127"/>
      <c r="F679" s="128"/>
      <c r="G679" s="126"/>
      <c r="H679" s="127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5"/>
      <c r="X679" s="126"/>
      <c r="Y679" s="126"/>
      <c r="Z679" s="126"/>
      <c r="AA679" s="126"/>
      <c r="AB679" s="126"/>
      <c r="AC679" s="126"/>
      <c r="AD679" s="126"/>
      <c r="AE679" s="127"/>
      <c r="AF679" s="126"/>
      <c r="AG679" s="126"/>
      <c r="AH679" s="127"/>
      <c r="AI679" s="126"/>
      <c r="AJ679" s="127"/>
      <c r="AK679" s="127"/>
      <c r="AL679" s="129"/>
      <c r="AM679" s="129"/>
      <c r="AN679" s="44"/>
      <c r="AO679" s="44"/>
    </row>
    <row r="680" spans="2:41" ht="15.5">
      <c r="B680" s="125"/>
      <c r="C680" s="126"/>
      <c r="D680" s="126"/>
      <c r="E680" s="127"/>
      <c r="F680" s="128"/>
      <c r="G680" s="126"/>
      <c r="H680" s="127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5"/>
      <c r="X680" s="126"/>
      <c r="Y680" s="126"/>
      <c r="Z680" s="126"/>
      <c r="AA680" s="126"/>
      <c r="AB680" s="126"/>
      <c r="AC680" s="126"/>
      <c r="AD680" s="126"/>
      <c r="AE680" s="127"/>
      <c r="AF680" s="126"/>
      <c r="AG680" s="126"/>
      <c r="AH680" s="127"/>
      <c r="AI680" s="126"/>
      <c r="AJ680" s="127"/>
      <c r="AK680" s="127"/>
      <c r="AL680" s="129"/>
      <c r="AM680" s="129"/>
      <c r="AN680" s="44"/>
      <c r="AO680" s="44"/>
    </row>
    <row r="681" spans="2:41" ht="15.5">
      <c r="B681" s="125"/>
      <c r="C681" s="126"/>
      <c r="D681" s="126"/>
      <c r="E681" s="127"/>
      <c r="F681" s="128"/>
      <c r="G681" s="126"/>
      <c r="H681" s="127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5"/>
      <c r="X681" s="126"/>
      <c r="Y681" s="126"/>
      <c r="Z681" s="126"/>
      <c r="AA681" s="126"/>
      <c r="AB681" s="126"/>
      <c r="AC681" s="126"/>
      <c r="AD681" s="126"/>
      <c r="AE681" s="127"/>
      <c r="AF681" s="126"/>
      <c r="AG681" s="126"/>
      <c r="AH681" s="127"/>
      <c r="AI681" s="126"/>
      <c r="AJ681" s="127"/>
      <c r="AK681" s="127"/>
      <c r="AL681" s="129"/>
      <c r="AM681" s="129"/>
      <c r="AN681" s="44"/>
      <c r="AO681" s="44"/>
    </row>
    <row r="682" spans="2:41" ht="15.5">
      <c r="B682" s="125"/>
      <c r="C682" s="126"/>
      <c r="D682" s="126"/>
      <c r="E682" s="127"/>
      <c r="F682" s="128"/>
      <c r="G682" s="126"/>
      <c r="H682" s="127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5"/>
      <c r="X682" s="126"/>
      <c r="Y682" s="126"/>
      <c r="Z682" s="126"/>
      <c r="AA682" s="126"/>
      <c r="AB682" s="126"/>
      <c r="AC682" s="126"/>
      <c r="AD682" s="126"/>
      <c r="AE682" s="127"/>
      <c r="AF682" s="126"/>
      <c r="AG682" s="126"/>
      <c r="AH682" s="127"/>
      <c r="AI682" s="126"/>
      <c r="AJ682" s="127"/>
      <c r="AK682" s="127"/>
      <c r="AL682" s="129"/>
      <c r="AM682" s="129"/>
      <c r="AN682" s="44"/>
      <c r="AO682" s="44"/>
    </row>
    <row r="683" spans="2:41" ht="15.5">
      <c r="B683" s="125"/>
      <c r="C683" s="126"/>
      <c r="D683" s="126"/>
      <c r="E683" s="127"/>
      <c r="F683" s="128"/>
      <c r="G683" s="126"/>
      <c r="H683" s="127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5"/>
      <c r="X683" s="126"/>
      <c r="Y683" s="126"/>
      <c r="Z683" s="126"/>
      <c r="AA683" s="126"/>
      <c r="AB683" s="126"/>
      <c r="AC683" s="126"/>
      <c r="AD683" s="126"/>
      <c r="AE683" s="127"/>
      <c r="AF683" s="126"/>
      <c r="AG683" s="126"/>
      <c r="AH683" s="127"/>
      <c r="AI683" s="126"/>
      <c r="AJ683" s="127"/>
      <c r="AK683" s="127"/>
      <c r="AL683" s="129"/>
      <c r="AM683" s="129"/>
      <c r="AN683" s="44"/>
      <c r="AO683" s="44"/>
    </row>
    <row r="684" spans="2:41" ht="15.5">
      <c r="B684" s="125"/>
      <c r="C684" s="126"/>
      <c r="D684" s="126"/>
      <c r="E684" s="127"/>
      <c r="F684" s="128"/>
      <c r="G684" s="126"/>
      <c r="H684" s="127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5"/>
      <c r="X684" s="126"/>
      <c r="Y684" s="126"/>
      <c r="Z684" s="126"/>
      <c r="AA684" s="126"/>
      <c r="AB684" s="126"/>
      <c r="AC684" s="126"/>
      <c r="AD684" s="126"/>
      <c r="AE684" s="127"/>
      <c r="AF684" s="126"/>
      <c r="AG684" s="126"/>
      <c r="AH684" s="127"/>
      <c r="AI684" s="126"/>
      <c r="AJ684" s="127"/>
      <c r="AK684" s="127"/>
      <c r="AL684" s="129"/>
      <c r="AM684" s="129"/>
      <c r="AN684" s="44"/>
      <c r="AO684" s="44"/>
    </row>
    <row r="685" spans="2:41" ht="15.5">
      <c r="B685" s="125"/>
      <c r="C685" s="126"/>
      <c r="D685" s="126"/>
      <c r="E685" s="127"/>
      <c r="F685" s="128"/>
      <c r="G685" s="126"/>
      <c r="H685" s="127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5"/>
      <c r="X685" s="126"/>
      <c r="Y685" s="126"/>
      <c r="Z685" s="126"/>
      <c r="AA685" s="126"/>
      <c r="AB685" s="126"/>
      <c r="AC685" s="126"/>
      <c r="AD685" s="126"/>
      <c r="AE685" s="127"/>
      <c r="AF685" s="126"/>
      <c r="AG685" s="126"/>
      <c r="AH685" s="127"/>
      <c r="AI685" s="126"/>
      <c r="AJ685" s="127"/>
      <c r="AK685" s="127"/>
      <c r="AL685" s="129"/>
      <c r="AM685" s="129"/>
      <c r="AN685" s="44"/>
      <c r="AO685" s="44"/>
    </row>
    <row r="686" spans="2:41" ht="15.5">
      <c r="B686" s="125"/>
      <c r="C686" s="126"/>
      <c r="D686" s="126"/>
      <c r="E686" s="127"/>
      <c r="F686" s="128"/>
      <c r="G686" s="126"/>
      <c r="H686" s="127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5"/>
      <c r="X686" s="126"/>
      <c r="Y686" s="126"/>
      <c r="Z686" s="126"/>
      <c r="AA686" s="126"/>
      <c r="AB686" s="126"/>
      <c r="AC686" s="126"/>
      <c r="AD686" s="126"/>
      <c r="AE686" s="127"/>
      <c r="AF686" s="126"/>
      <c r="AG686" s="126"/>
      <c r="AH686" s="127"/>
      <c r="AI686" s="126"/>
      <c r="AJ686" s="127"/>
      <c r="AK686" s="127"/>
      <c r="AL686" s="129"/>
      <c r="AM686" s="129"/>
      <c r="AN686" s="44"/>
      <c r="AO686" s="44"/>
    </row>
    <row r="687" spans="2:41" ht="15.5">
      <c r="B687" s="125"/>
      <c r="C687" s="126"/>
      <c r="D687" s="126"/>
      <c r="E687" s="127"/>
      <c r="F687" s="128"/>
      <c r="G687" s="126"/>
      <c r="H687" s="127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5"/>
      <c r="X687" s="126"/>
      <c r="Y687" s="126"/>
      <c r="Z687" s="126"/>
      <c r="AA687" s="126"/>
      <c r="AB687" s="126"/>
      <c r="AC687" s="126"/>
      <c r="AD687" s="126"/>
      <c r="AE687" s="127"/>
      <c r="AF687" s="126"/>
      <c r="AG687" s="126"/>
      <c r="AH687" s="127"/>
      <c r="AI687" s="126"/>
      <c r="AJ687" s="127"/>
      <c r="AK687" s="127"/>
      <c r="AL687" s="129"/>
      <c r="AM687" s="129"/>
      <c r="AN687" s="44"/>
      <c r="AO687" s="44"/>
    </row>
    <row r="688" spans="2:41" ht="15.5">
      <c r="B688" s="125"/>
      <c r="C688" s="126"/>
      <c r="D688" s="126"/>
      <c r="E688" s="127"/>
      <c r="F688" s="128"/>
      <c r="G688" s="126"/>
      <c r="H688" s="127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5"/>
      <c r="X688" s="126"/>
      <c r="Y688" s="126"/>
      <c r="Z688" s="126"/>
      <c r="AA688" s="126"/>
      <c r="AB688" s="126"/>
      <c r="AC688" s="126"/>
      <c r="AD688" s="126"/>
      <c r="AE688" s="127"/>
      <c r="AF688" s="126"/>
      <c r="AG688" s="126"/>
      <c r="AH688" s="127"/>
      <c r="AI688" s="126"/>
      <c r="AJ688" s="127"/>
      <c r="AK688" s="127"/>
      <c r="AL688" s="129"/>
      <c r="AM688" s="129"/>
      <c r="AN688" s="44"/>
      <c r="AO688" s="44"/>
    </row>
    <row r="689" spans="2:41" ht="15.5">
      <c r="B689" s="125"/>
      <c r="C689" s="126"/>
      <c r="D689" s="126"/>
      <c r="E689" s="127"/>
      <c r="F689" s="128"/>
      <c r="G689" s="126"/>
      <c r="H689" s="127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5"/>
      <c r="X689" s="126"/>
      <c r="Y689" s="126"/>
      <c r="Z689" s="126"/>
      <c r="AA689" s="126"/>
      <c r="AB689" s="126"/>
      <c r="AC689" s="126"/>
      <c r="AD689" s="126"/>
      <c r="AE689" s="127"/>
      <c r="AF689" s="126"/>
      <c r="AG689" s="126"/>
      <c r="AH689" s="127"/>
      <c r="AI689" s="126"/>
      <c r="AJ689" s="127"/>
      <c r="AK689" s="127"/>
      <c r="AL689" s="129"/>
      <c r="AM689" s="129"/>
      <c r="AN689" s="44"/>
      <c r="AO689" s="44"/>
    </row>
    <row r="690" spans="2:41" ht="15.5">
      <c r="B690" s="125"/>
      <c r="C690" s="126"/>
      <c r="D690" s="126"/>
      <c r="E690" s="127"/>
      <c r="F690" s="128"/>
      <c r="G690" s="126"/>
      <c r="H690" s="127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5"/>
      <c r="X690" s="126"/>
      <c r="Y690" s="126"/>
      <c r="Z690" s="126"/>
      <c r="AA690" s="126"/>
      <c r="AB690" s="126"/>
      <c r="AC690" s="126"/>
      <c r="AD690" s="126"/>
      <c r="AE690" s="127"/>
      <c r="AF690" s="126"/>
      <c r="AG690" s="126"/>
      <c r="AH690" s="127"/>
      <c r="AI690" s="126"/>
      <c r="AJ690" s="127"/>
      <c r="AK690" s="127"/>
      <c r="AL690" s="129"/>
      <c r="AM690" s="129"/>
      <c r="AN690" s="44"/>
      <c r="AO690" s="44"/>
    </row>
    <row r="691" spans="2:41" ht="15.5">
      <c r="B691" s="125"/>
      <c r="C691" s="126"/>
      <c r="D691" s="126"/>
      <c r="E691" s="127"/>
      <c r="F691" s="128"/>
      <c r="G691" s="126"/>
      <c r="H691" s="127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5"/>
      <c r="X691" s="126"/>
      <c r="Y691" s="126"/>
      <c r="Z691" s="126"/>
      <c r="AA691" s="126"/>
      <c r="AB691" s="126"/>
      <c r="AC691" s="126"/>
      <c r="AD691" s="126"/>
      <c r="AE691" s="127"/>
      <c r="AF691" s="126"/>
      <c r="AG691" s="126"/>
      <c r="AH691" s="127"/>
      <c r="AI691" s="126"/>
      <c r="AJ691" s="127"/>
      <c r="AK691" s="127"/>
      <c r="AL691" s="129"/>
      <c r="AM691" s="129"/>
      <c r="AN691" s="44"/>
      <c r="AO691" s="44"/>
    </row>
    <row r="692" spans="2:41" ht="15.5">
      <c r="B692" s="125"/>
      <c r="C692" s="126"/>
      <c r="D692" s="126"/>
      <c r="E692" s="127"/>
      <c r="F692" s="128"/>
      <c r="G692" s="126"/>
      <c r="H692" s="127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5"/>
      <c r="X692" s="126"/>
      <c r="Y692" s="126"/>
      <c r="Z692" s="126"/>
      <c r="AA692" s="126"/>
      <c r="AB692" s="126"/>
      <c r="AC692" s="126"/>
      <c r="AD692" s="126"/>
      <c r="AE692" s="127"/>
      <c r="AF692" s="126"/>
      <c r="AG692" s="126"/>
      <c r="AH692" s="127"/>
      <c r="AI692" s="126"/>
      <c r="AJ692" s="127"/>
      <c r="AK692" s="127"/>
      <c r="AL692" s="129"/>
      <c r="AM692" s="129"/>
      <c r="AN692" s="44"/>
      <c r="AO692" s="44"/>
    </row>
    <row r="693" spans="2:41" ht="15.5">
      <c r="B693" s="125"/>
      <c r="C693" s="126"/>
      <c r="D693" s="126"/>
      <c r="E693" s="127"/>
      <c r="F693" s="128"/>
      <c r="G693" s="126"/>
      <c r="H693" s="127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5"/>
      <c r="X693" s="126"/>
      <c r="Y693" s="126"/>
      <c r="Z693" s="126"/>
      <c r="AA693" s="126"/>
      <c r="AB693" s="126"/>
      <c r="AC693" s="126"/>
      <c r="AD693" s="126"/>
      <c r="AE693" s="127"/>
      <c r="AF693" s="126"/>
      <c r="AG693" s="126"/>
      <c r="AH693" s="127"/>
      <c r="AI693" s="126"/>
      <c r="AJ693" s="127"/>
      <c r="AK693" s="127"/>
      <c r="AL693" s="129"/>
      <c r="AM693" s="129"/>
      <c r="AN693" s="44"/>
      <c r="AO693" s="44"/>
    </row>
    <row r="694" spans="2:41" ht="15.5">
      <c r="B694" s="125"/>
      <c r="C694" s="126"/>
      <c r="D694" s="126"/>
      <c r="E694" s="127"/>
      <c r="F694" s="128"/>
      <c r="G694" s="126"/>
      <c r="H694" s="127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5"/>
      <c r="X694" s="126"/>
      <c r="Y694" s="126"/>
      <c r="Z694" s="126"/>
      <c r="AA694" s="126"/>
      <c r="AB694" s="126"/>
      <c r="AC694" s="126"/>
      <c r="AD694" s="126"/>
      <c r="AE694" s="127"/>
      <c r="AF694" s="126"/>
      <c r="AG694" s="126"/>
      <c r="AH694" s="127"/>
      <c r="AI694" s="126"/>
      <c r="AJ694" s="127"/>
      <c r="AK694" s="127"/>
      <c r="AL694" s="129"/>
      <c r="AM694" s="129"/>
      <c r="AN694" s="44"/>
      <c r="AO694" s="44"/>
    </row>
    <row r="695" spans="2:41" ht="15.5">
      <c r="B695" s="125"/>
      <c r="C695" s="126"/>
      <c r="D695" s="126"/>
      <c r="E695" s="127"/>
      <c r="F695" s="128"/>
      <c r="G695" s="126"/>
      <c r="H695" s="127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5"/>
      <c r="X695" s="126"/>
      <c r="Y695" s="126"/>
      <c r="Z695" s="126"/>
      <c r="AA695" s="126"/>
      <c r="AB695" s="126"/>
      <c r="AC695" s="126"/>
      <c r="AD695" s="126"/>
      <c r="AE695" s="127"/>
      <c r="AF695" s="126"/>
      <c r="AG695" s="126"/>
      <c r="AH695" s="127"/>
      <c r="AI695" s="126"/>
      <c r="AJ695" s="127"/>
      <c r="AK695" s="127"/>
      <c r="AL695" s="129"/>
      <c r="AM695" s="129"/>
      <c r="AN695" s="44"/>
      <c r="AO695" s="44"/>
    </row>
    <row r="696" spans="2:41" ht="15.5">
      <c r="B696" s="125"/>
      <c r="C696" s="126"/>
      <c r="D696" s="126"/>
      <c r="E696" s="127"/>
      <c r="F696" s="128"/>
      <c r="G696" s="126"/>
      <c r="H696" s="127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5"/>
      <c r="X696" s="126"/>
      <c r="Y696" s="126"/>
      <c r="Z696" s="126"/>
      <c r="AA696" s="126"/>
      <c r="AB696" s="126"/>
      <c r="AC696" s="126"/>
      <c r="AD696" s="126"/>
      <c r="AE696" s="127"/>
      <c r="AF696" s="126"/>
      <c r="AG696" s="126"/>
      <c r="AH696" s="127"/>
      <c r="AI696" s="126"/>
      <c r="AJ696" s="127"/>
      <c r="AK696" s="127"/>
      <c r="AL696" s="129"/>
      <c r="AM696" s="129"/>
      <c r="AN696" s="44"/>
      <c r="AO696" s="44"/>
    </row>
    <row r="697" spans="2:41" ht="15.5">
      <c r="B697" s="125"/>
      <c r="C697" s="126"/>
      <c r="D697" s="126"/>
      <c r="E697" s="127"/>
      <c r="F697" s="128"/>
      <c r="G697" s="126"/>
      <c r="H697" s="127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5"/>
      <c r="X697" s="126"/>
      <c r="Y697" s="126"/>
      <c r="Z697" s="126"/>
      <c r="AA697" s="126"/>
      <c r="AB697" s="126"/>
      <c r="AC697" s="126"/>
      <c r="AD697" s="126"/>
      <c r="AE697" s="127"/>
      <c r="AF697" s="126"/>
      <c r="AG697" s="126"/>
      <c r="AH697" s="127"/>
      <c r="AI697" s="126"/>
      <c r="AJ697" s="127"/>
      <c r="AK697" s="127"/>
      <c r="AL697" s="129"/>
      <c r="AM697" s="129"/>
      <c r="AN697" s="44"/>
      <c r="AO697" s="44"/>
    </row>
    <row r="698" spans="2:41" ht="15.5">
      <c r="B698" s="125"/>
      <c r="C698" s="126"/>
      <c r="D698" s="126"/>
      <c r="E698" s="127"/>
      <c r="F698" s="128"/>
      <c r="G698" s="126"/>
      <c r="H698" s="127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5"/>
      <c r="X698" s="126"/>
      <c r="Y698" s="126"/>
      <c r="Z698" s="126"/>
      <c r="AA698" s="126"/>
      <c r="AB698" s="126"/>
      <c r="AC698" s="126"/>
      <c r="AD698" s="126"/>
      <c r="AE698" s="127"/>
      <c r="AF698" s="126"/>
      <c r="AG698" s="126"/>
      <c r="AH698" s="127"/>
      <c r="AI698" s="126"/>
      <c r="AJ698" s="127"/>
      <c r="AK698" s="127"/>
      <c r="AL698" s="129"/>
      <c r="AM698" s="129"/>
      <c r="AN698" s="44"/>
      <c r="AO698" s="44"/>
    </row>
    <row r="699" spans="2:41" ht="15.5">
      <c r="B699" s="125"/>
      <c r="C699" s="126"/>
      <c r="D699" s="126"/>
      <c r="E699" s="127"/>
      <c r="F699" s="128"/>
      <c r="G699" s="126"/>
      <c r="H699" s="127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5"/>
      <c r="X699" s="126"/>
      <c r="Y699" s="126"/>
      <c r="Z699" s="126"/>
      <c r="AA699" s="126"/>
      <c r="AB699" s="126"/>
      <c r="AC699" s="126"/>
      <c r="AD699" s="126"/>
      <c r="AE699" s="127"/>
      <c r="AF699" s="126"/>
      <c r="AG699" s="126"/>
      <c r="AH699" s="127"/>
      <c r="AI699" s="126"/>
      <c r="AJ699" s="127"/>
      <c r="AK699" s="127"/>
      <c r="AL699" s="129"/>
      <c r="AM699" s="129"/>
      <c r="AN699" s="44"/>
      <c r="AO699" s="44"/>
    </row>
    <row r="700" spans="2:41" ht="15.5">
      <c r="B700" s="125"/>
      <c r="C700" s="126"/>
      <c r="D700" s="126"/>
      <c r="E700" s="127"/>
      <c r="F700" s="128"/>
      <c r="G700" s="126"/>
      <c r="H700" s="127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5"/>
      <c r="X700" s="126"/>
      <c r="Y700" s="126"/>
      <c r="Z700" s="126"/>
      <c r="AA700" s="126"/>
      <c r="AB700" s="126"/>
      <c r="AC700" s="126"/>
      <c r="AD700" s="126"/>
      <c r="AE700" s="127"/>
      <c r="AF700" s="126"/>
      <c r="AG700" s="126"/>
      <c r="AH700" s="127"/>
      <c r="AI700" s="126"/>
      <c r="AJ700" s="127"/>
      <c r="AK700" s="127"/>
      <c r="AL700" s="129"/>
      <c r="AM700" s="129"/>
      <c r="AN700" s="44"/>
      <c r="AO700" s="44"/>
    </row>
    <row r="701" spans="2:41" ht="15.5">
      <c r="B701" s="125"/>
      <c r="C701" s="126"/>
      <c r="D701" s="126"/>
      <c r="E701" s="127"/>
      <c r="F701" s="128"/>
      <c r="G701" s="126"/>
      <c r="H701" s="127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5"/>
      <c r="X701" s="126"/>
      <c r="Y701" s="126"/>
      <c r="Z701" s="126"/>
      <c r="AA701" s="126"/>
      <c r="AB701" s="126"/>
      <c r="AC701" s="126"/>
      <c r="AD701" s="126"/>
      <c r="AE701" s="127"/>
      <c r="AF701" s="126"/>
      <c r="AG701" s="126"/>
      <c r="AH701" s="127"/>
      <c r="AI701" s="126"/>
      <c r="AJ701" s="127"/>
      <c r="AK701" s="127"/>
      <c r="AL701" s="129"/>
      <c r="AM701" s="129"/>
      <c r="AN701" s="44"/>
      <c r="AO701" s="44"/>
    </row>
    <row r="702" spans="2:41" ht="15.5">
      <c r="B702" s="125"/>
      <c r="C702" s="126"/>
      <c r="D702" s="126"/>
      <c r="E702" s="127"/>
      <c r="F702" s="128"/>
      <c r="G702" s="126"/>
      <c r="H702" s="127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5"/>
      <c r="X702" s="126"/>
      <c r="Y702" s="126"/>
      <c r="Z702" s="126"/>
      <c r="AA702" s="126"/>
      <c r="AB702" s="126"/>
      <c r="AC702" s="126"/>
      <c r="AD702" s="126"/>
      <c r="AE702" s="127"/>
      <c r="AF702" s="126"/>
      <c r="AG702" s="126"/>
      <c r="AH702" s="127"/>
      <c r="AI702" s="126"/>
      <c r="AJ702" s="127"/>
      <c r="AK702" s="127"/>
      <c r="AL702" s="129"/>
      <c r="AM702" s="129"/>
      <c r="AN702" s="44"/>
      <c r="AO702" s="44"/>
    </row>
    <row r="703" spans="2:41" ht="15.5">
      <c r="B703" s="125"/>
      <c r="C703" s="126"/>
      <c r="D703" s="126"/>
      <c r="E703" s="127"/>
      <c r="F703" s="128"/>
      <c r="G703" s="126"/>
      <c r="H703" s="127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5"/>
      <c r="X703" s="126"/>
      <c r="Y703" s="126"/>
      <c r="Z703" s="126"/>
      <c r="AA703" s="126"/>
      <c r="AB703" s="126"/>
      <c r="AC703" s="126"/>
      <c r="AD703" s="126"/>
      <c r="AE703" s="127"/>
      <c r="AF703" s="126"/>
      <c r="AG703" s="126"/>
      <c r="AH703" s="127"/>
      <c r="AI703" s="126"/>
      <c r="AJ703" s="127"/>
      <c r="AK703" s="127"/>
      <c r="AL703" s="129"/>
      <c r="AM703" s="129"/>
      <c r="AN703" s="44"/>
      <c r="AO703" s="44"/>
    </row>
    <row r="704" spans="2:41" ht="15.5">
      <c r="B704" s="125"/>
      <c r="C704" s="126"/>
      <c r="D704" s="126"/>
      <c r="E704" s="127"/>
      <c r="F704" s="128"/>
      <c r="G704" s="126"/>
      <c r="H704" s="127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5"/>
      <c r="X704" s="126"/>
      <c r="Y704" s="126"/>
      <c r="Z704" s="126"/>
      <c r="AA704" s="126"/>
      <c r="AB704" s="126"/>
      <c r="AC704" s="126"/>
      <c r="AD704" s="126"/>
      <c r="AE704" s="127"/>
      <c r="AF704" s="126"/>
      <c r="AG704" s="126"/>
      <c r="AH704" s="127"/>
      <c r="AI704" s="126"/>
      <c r="AJ704" s="127"/>
      <c r="AK704" s="127"/>
      <c r="AL704" s="129"/>
      <c r="AM704" s="129"/>
      <c r="AN704" s="44"/>
      <c r="AO704" s="44"/>
    </row>
    <row r="705" spans="2:41" ht="15.5">
      <c r="B705" s="125"/>
      <c r="C705" s="126"/>
      <c r="D705" s="126"/>
      <c r="E705" s="127"/>
      <c r="F705" s="128"/>
      <c r="G705" s="126"/>
      <c r="H705" s="127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5"/>
      <c r="X705" s="126"/>
      <c r="Y705" s="126"/>
      <c r="Z705" s="126"/>
      <c r="AA705" s="126"/>
      <c r="AB705" s="126"/>
      <c r="AC705" s="126"/>
      <c r="AD705" s="126"/>
      <c r="AE705" s="127"/>
      <c r="AF705" s="126"/>
      <c r="AG705" s="126"/>
      <c r="AH705" s="127"/>
      <c r="AI705" s="126"/>
      <c r="AJ705" s="127"/>
      <c r="AK705" s="127"/>
      <c r="AL705" s="129"/>
      <c r="AM705" s="129"/>
      <c r="AN705" s="44"/>
      <c r="AO705" s="44"/>
    </row>
    <row r="706" spans="2:41" ht="15.5">
      <c r="B706" s="125"/>
      <c r="C706" s="126"/>
      <c r="D706" s="126"/>
      <c r="E706" s="127"/>
      <c r="F706" s="128"/>
      <c r="G706" s="126"/>
      <c r="H706" s="127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5"/>
      <c r="X706" s="126"/>
      <c r="Y706" s="126"/>
      <c r="Z706" s="126"/>
      <c r="AA706" s="126"/>
      <c r="AB706" s="126"/>
      <c r="AC706" s="126"/>
      <c r="AD706" s="126"/>
      <c r="AE706" s="127"/>
      <c r="AF706" s="126"/>
      <c r="AG706" s="126"/>
      <c r="AH706" s="127"/>
      <c r="AI706" s="126"/>
      <c r="AJ706" s="127"/>
      <c r="AK706" s="127"/>
      <c r="AL706" s="129"/>
      <c r="AM706" s="129"/>
      <c r="AN706" s="44"/>
      <c r="AO706" s="44"/>
    </row>
    <row r="707" spans="2:41" ht="15.5">
      <c r="B707" s="125"/>
      <c r="C707" s="126"/>
      <c r="D707" s="126"/>
      <c r="E707" s="127"/>
      <c r="F707" s="128"/>
      <c r="G707" s="126"/>
      <c r="H707" s="127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5"/>
      <c r="X707" s="126"/>
      <c r="Y707" s="126"/>
      <c r="Z707" s="126"/>
      <c r="AA707" s="126"/>
      <c r="AB707" s="126"/>
      <c r="AC707" s="126"/>
      <c r="AD707" s="126"/>
      <c r="AE707" s="127"/>
      <c r="AF707" s="126"/>
      <c r="AG707" s="126"/>
      <c r="AH707" s="127"/>
      <c r="AI707" s="126"/>
      <c r="AJ707" s="127"/>
      <c r="AK707" s="127"/>
      <c r="AL707" s="129"/>
      <c r="AM707" s="129"/>
      <c r="AN707" s="44"/>
      <c r="AO707" s="44"/>
    </row>
    <row r="708" spans="2:41" ht="15.5">
      <c r="B708" s="125"/>
      <c r="C708" s="126"/>
      <c r="D708" s="126"/>
      <c r="E708" s="127"/>
      <c r="F708" s="128"/>
      <c r="G708" s="126"/>
      <c r="H708" s="127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5"/>
      <c r="X708" s="126"/>
      <c r="Y708" s="126"/>
      <c r="Z708" s="126"/>
      <c r="AA708" s="126"/>
      <c r="AB708" s="126"/>
      <c r="AC708" s="126"/>
      <c r="AD708" s="126"/>
      <c r="AE708" s="127"/>
      <c r="AF708" s="126"/>
      <c r="AG708" s="126"/>
      <c r="AH708" s="127"/>
      <c r="AI708" s="126"/>
      <c r="AJ708" s="127"/>
      <c r="AK708" s="127"/>
      <c r="AL708" s="129"/>
      <c r="AM708" s="129"/>
      <c r="AN708" s="44"/>
      <c r="AO708" s="44"/>
    </row>
    <row r="709" spans="2:41" ht="15.5">
      <c r="B709" s="125"/>
      <c r="C709" s="126"/>
      <c r="D709" s="126"/>
      <c r="E709" s="127"/>
      <c r="F709" s="128"/>
      <c r="G709" s="126"/>
      <c r="H709" s="127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5"/>
      <c r="X709" s="126"/>
      <c r="Y709" s="126"/>
      <c r="Z709" s="126"/>
      <c r="AA709" s="126"/>
      <c r="AB709" s="126"/>
      <c r="AC709" s="126"/>
      <c r="AD709" s="126"/>
      <c r="AE709" s="127"/>
      <c r="AF709" s="126"/>
      <c r="AG709" s="126"/>
      <c r="AH709" s="127"/>
      <c r="AI709" s="126"/>
      <c r="AJ709" s="127"/>
      <c r="AK709" s="127"/>
      <c r="AL709" s="129"/>
      <c r="AM709" s="129"/>
      <c r="AN709" s="44"/>
      <c r="AO709" s="44"/>
    </row>
    <row r="710" spans="2:41" ht="15.5">
      <c r="B710" s="125"/>
      <c r="C710" s="126"/>
      <c r="D710" s="126"/>
      <c r="E710" s="127"/>
      <c r="F710" s="128"/>
      <c r="G710" s="126"/>
      <c r="H710" s="127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5"/>
      <c r="X710" s="126"/>
      <c r="Y710" s="126"/>
      <c r="Z710" s="126"/>
      <c r="AA710" s="126"/>
      <c r="AB710" s="126"/>
      <c r="AC710" s="126"/>
      <c r="AD710" s="126"/>
      <c r="AE710" s="127"/>
      <c r="AF710" s="126"/>
      <c r="AG710" s="126"/>
      <c r="AH710" s="127"/>
      <c r="AI710" s="126"/>
      <c r="AJ710" s="127"/>
      <c r="AK710" s="127"/>
      <c r="AL710" s="129"/>
      <c r="AM710" s="129"/>
      <c r="AN710" s="44"/>
      <c r="AO710" s="44"/>
    </row>
    <row r="711" spans="2:41" ht="15.5">
      <c r="B711" s="125"/>
      <c r="C711" s="126"/>
      <c r="D711" s="126"/>
      <c r="E711" s="127"/>
      <c r="F711" s="128"/>
      <c r="G711" s="126"/>
      <c r="H711" s="127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5"/>
      <c r="X711" s="126"/>
      <c r="Y711" s="126"/>
      <c r="Z711" s="126"/>
      <c r="AA711" s="126"/>
      <c r="AB711" s="126"/>
      <c r="AC711" s="126"/>
      <c r="AD711" s="126"/>
      <c r="AE711" s="127"/>
      <c r="AF711" s="126"/>
      <c r="AG711" s="126"/>
      <c r="AH711" s="127"/>
      <c r="AI711" s="126"/>
      <c r="AJ711" s="127"/>
      <c r="AK711" s="127"/>
      <c r="AL711" s="129"/>
      <c r="AM711" s="129"/>
      <c r="AN711" s="44"/>
      <c r="AO711" s="44"/>
    </row>
    <row r="712" spans="2:41" ht="15.5">
      <c r="B712" s="125"/>
      <c r="C712" s="126"/>
      <c r="D712" s="126"/>
      <c r="E712" s="127"/>
      <c r="F712" s="128"/>
      <c r="G712" s="126"/>
      <c r="H712" s="127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5"/>
      <c r="X712" s="126"/>
      <c r="Y712" s="126"/>
      <c r="Z712" s="126"/>
      <c r="AA712" s="126"/>
      <c r="AB712" s="126"/>
      <c r="AC712" s="126"/>
      <c r="AD712" s="126"/>
      <c r="AE712" s="127"/>
      <c r="AF712" s="126"/>
      <c r="AG712" s="126"/>
      <c r="AH712" s="127"/>
      <c r="AI712" s="126"/>
      <c r="AJ712" s="127"/>
      <c r="AK712" s="127"/>
      <c r="AL712" s="129"/>
      <c r="AM712" s="129"/>
      <c r="AN712" s="44"/>
      <c r="AO712" s="44"/>
    </row>
    <row r="713" spans="2:41" ht="15.5">
      <c r="B713" s="125"/>
      <c r="C713" s="126"/>
      <c r="D713" s="126"/>
      <c r="E713" s="127"/>
      <c r="F713" s="128"/>
      <c r="G713" s="126"/>
      <c r="H713" s="127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5"/>
      <c r="X713" s="126"/>
      <c r="Y713" s="126"/>
      <c r="Z713" s="126"/>
      <c r="AA713" s="126"/>
      <c r="AB713" s="126"/>
      <c r="AC713" s="126"/>
      <c r="AD713" s="126"/>
      <c r="AE713" s="127"/>
      <c r="AF713" s="126"/>
      <c r="AG713" s="126"/>
      <c r="AH713" s="127"/>
      <c r="AI713" s="126"/>
      <c r="AJ713" s="127"/>
      <c r="AK713" s="127"/>
      <c r="AL713" s="129"/>
      <c r="AM713" s="129"/>
      <c r="AN713" s="44"/>
      <c r="AO713" s="44"/>
    </row>
    <row r="714" spans="2:41" ht="15.5">
      <c r="B714" s="125"/>
      <c r="C714" s="126"/>
      <c r="D714" s="126"/>
      <c r="E714" s="127"/>
      <c r="F714" s="128"/>
      <c r="G714" s="126"/>
      <c r="H714" s="127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5"/>
      <c r="X714" s="126"/>
      <c r="Y714" s="126"/>
      <c r="Z714" s="126"/>
      <c r="AA714" s="126"/>
      <c r="AB714" s="126"/>
      <c r="AC714" s="126"/>
      <c r="AD714" s="126"/>
      <c r="AE714" s="127"/>
      <c r="AF714" s="126"/>
      <c r="AG714" s="126"/>
      <c r="AH714" s="127"/>
      <c r="AI714" s="126"/>
      <c r="AJ714" s="127"/>
      <c r="AK714" s="127"/>
      <c r="AL714" s="129"/>
      <c r="AM714" s="129"/>
      <c r="AN714" s="44"/>
      <c r="AO714" s="44"/>
    </row>
    <row r="715" spans="2:41" ht="15.5">
      <c r="B715" s="125"/>
      <c r="C715" s="126"/>
      <c r="D715" s="126"/>
      <c r="E715" s="127"/>
      <c r="F715" s="128"/>
      <c r="G715" s="126"/>
      <c r="H715" s="127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5"/>
      <c r="X715" s="126"/>
      <c r="Y715" s="126"/>
      <c r="Z715" s="126"/>
      <c r="AA715" s="126"/>
      <c r="AB715" s="126"/>
      <c r="AC715" s="126"/>
      <c r="AD715" s="126"/>
      <c r="AE715" s="127"/>
      <c r="AF715" s="126"/>
      <c r="AG715" s="126"/>
      <c r="AH715" s="127"/>
      <c r="AI715" s="126"/>
      <c r="AJ715" s="127"/>
      <c r="AK715" s="127"/>
      <c r="AL715" s="129"/>
      <c r="AM715" s="129"/>
      <c r="AN715" s="44"/>
      <c r="AO715" s="44"/>
    </row>
    <row r="716" spans="2:41" ht="15.5">
      <c r="B716" s="125"/>
      <c r="C716" s="126"/>
      <c r="D716" s="126"/>
      <c r="E716" s="127"/>
      <c r="F716" s="128"/>
      <c r="G716" s="126"/>
      <c r="H716" s="127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5"/>
      <c r="X716" s="126"/>
      <c r="Y716" s="126"/>
      <c r="Z716" s="126"/>
      <c r="AA716" s="126"/>
      <c r="AB716" s="126"/>
      <c r="AC716" s="126"/>
      <c r="AD716" s="126"/>
      <c r="AE716" s="127"/>
      <c r="AF716" s="126"/>
      <c r="AG716" s="126"/>
      <c r="AH716" s="127"/>
      <c r="AI716" s="126"/>
      <c r="AJ716" s="127"/>
      <c r="AK716" s="127"/>
      <c r="AL716" s="129"/>
      <c r="AM716" s="129"/>
      <c r="AN716" s="44"/>
      <c r="AO716" s="44"/>
    </row>
    <row r="717" spans="2:41" ht="15.5">
      <c r="B717" s="125"/>
      <c r="C717" s="126"/>
      <c r="D717" s="126"/>
      <c r="E717" s="127"/>
      <c r="F717" s="128"/>
      <c r="G717" s="126"/>
      <c r="H717" s="127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5"/>
      <c r="X717" s="126"/>
      <c r="Y717" s="126"/>
      <c r="Z717" s="126"/>
      <c r="AA717" s="126"/>
      <c r="AB717" s="126"/>
      <c r="AC717" s="126"/>
      <c r="AD717" s="126"/>
      <c r="AE717" s="127"/>
      <c r="AF717" s="126"/>
      <c r="AG717" s="126"/>
      <c r="AH717" s="127"/>
      <c r="AI717" s="126"/>
      <c r="AJ717" s="127"/>
      <c r="AK717" s="127"/>
      <c r="AL717" s="129"/>
      <c r="AM717" s="129"/>
      <c r="AN717" s="44"/>
      <c r="AO717" s="44"/>
    </row>
    <row r="718" spans="2:41" ht="15.5">
      <c r="B718" s="125"/>
      <c r="C718" s="126"/>
      <c r="D718" s="126"/>
      <c r="E718" s="127"/>
      <c r="F718" s="128"/>
      <c r="G718" s="126"/>
      <c r="H718" s="127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5"/>
      <c r="X718" s="126"/>
      <c r="Y718" s="126"/>
      <c r="Z718" s="126"/>
      <c r="AA718" s="126"/>
      <c r="AB718" s="126"/>
      <c r="AC718" s="126"/>
      <c r="AD718" s="126"/>
      <c r="AE718" s="127"/>
      <c r="AF718" s="126"/>
      <c r="AG718" s="126"/>
      <c r="AH718" s="127"/>
      <c r="AI718" s="126"/>
      <c r="AJ718" s="127"/>
      <c r="AK718" s="127"/>
      <c r="AL718" s="129"/>
      <c r="AM718" s="129"/>
      <c r="AN718" s="44"/>
      <c r="AO718" s="44"/>
    </row>
    <row r="719" spans="2:41" ht="15.5">
      <c r="B719" s="125"/>
      <c r="C719" s="126"/>
      <c r="D719" s="126"/>
      <c r="E719" s="127"/>
      <c r="F719" s="128"/>
      <c r="G719" s="126"/>
      <c r="H719" s="127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5"/>
      <c r="X719" s="126"/>
      <c r="Y719" s="126"/>
      <c r="Z719" s="126"/>
      <c r="AA719" s="126"/>
      <c r="AB719" s="126"/>
      <c r="AC719" s="126"/>
      <c r="AD719" s="126"/>
      <c r="AE719" s="127"/>
      <c r="AF719" s="126"/>
      <c r="AG719" s="126"/>
      <c r="AH719" s="127"/>
      <c r="AI719" s="126"/>
      <c r="AJ719" s="127"/>
      <c r="AK719" s="127"/>
      <c r="AL719" s="129"/>
      <c r="AM719" s="129"/>
      <c r="AN719" s="44"/>
      <c r="AO719" s="44"/>
    </row>
    <row r="720" spans="2:41" ht="15.5">
      <c r="B720" s="125"/>
      <c r="C720" s="126"/>
      <c r="D720" s="126"/>
      <c r="E720" s="127"/>
      <c r="F720" s="128"/>
      <c r="G720" s="126"/>
      <c r="H720" s="127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5"/>
      <c r="X720" s="126"/>
      <c r="Y720" s="126"/>
      <c r="Z720" s="126"/>
      <c r="AA720" s="126"/>
      <c r="AB720" s="126"/>
      <c r="AC720" s="126"/>
      <c r="AD720" s="126"/>
      <c r="AE720" s="127"/>
      <c r="AF720" s="126"/>
      <c r="AG720" s="126"/>
      <c r="AH720" s="127"/>
      <c r="AI720" s="126"/>
      <c r="AJ720" s="127"/>
      <c r="AK720" s="127"/>
      <c r="AL720" s="129"/>
      <c r="AM720" s="129"/>
      <c r="AN720" s="44"/>
      <c r="AO720" s="44"/>
    </row>
    <row r="721" spans="2:41" ht="15.5">
      <c r="B721" s="125"/>
      <c r="C721" s="126"/>
      <c r="D721" s="126"/>
      <c r="E721" s="127"/>
      <c r="F721" s="128"/>
      <c r="G721" s="126"/>
      <c r="H721" s="127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5"/>
      <c r="X721" s="126"/>
      <c r="Y721" s="126"/>
      <c r="Z721" s="126"/>
      <c r="AA721" s="126"/>
      <c r="AB721" s="126"/>
      <c r="AC721" s="126"/>
      <c r="AD721" s="126"/>
      <c r="AE721" s="127"/>
      <c r="AF721" s="126"/>
      <c r="AG721" s="126"/>
      <c r="AH721" s="127"/>
      <c r="AI721" s="126"/>
      <c r="AJ721" s="127"/>
      <c r="AK721" s="127"/>
      <c r="AL721" s="129"/>
      <c r="AM721" s="129"/>
      <c r="AN721" s="44"/>
      <c r="AO721" s="44"/>
    </row>
    <row r="722" spans="2:41" ht="15.5">
      <c r="B722" s="125"/>
      <c r="C722" s="126"/>
      <c r="D722" s="126"/>
      <c r="E722" s="127"/>
      <c r="F722" s="128"/>
      <c r="G722" s="126"/>
      <c r="H722" s="127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5"/>
      <c r="X722" s="126"/>
      <c r="Y722" s="126"/>
      <c r="Z722" s="126"/>
      <c r="AA722" s="126"/>
      <c r="AB722" s="126"/>
      <c r="AC722" s="126"/>
      <c r="AD722" s="126"/>
      <c r="AE722" s="127"/>
      <c r="AF722" s="126"/>
      <c r="AG722" s="126"/>
      <c r="AH722" s="127"/>
      <c r="AI722" s="126"/>
      <c r="AJ722" s="127"/>
      <c r="AK722" s="127"/>
      <c r="AL722" s="129"/>
      <c r="AM722" s="129"/>
      <c r="AN722" s="44"/>
      <c r="AO722" s="44"/>
    </row>
    <row r="723" spans="2:41" ht="15.5">
      <c r="B723" s="125"/>
      <c r="C723" s="126"/>
      <c r="D723" s="126"/>
      <c r="E723" s="127"/>
      <c r="F723" s="128"/>
      <c r="G723" s="126"/>
      <c r="H723" s="127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5"/>
      <c r="X723" s="126"/>
      <c r="Y723" s="126"/>
      <c r="Z723" s="126"/>
      <c r="AA723" s="126"/>
      <c r="AB723" s="126"/>
      <c r="AC723" s="126"/>
      <c r="AD723" s="126"/>
      <c r="AE723" s="127"/>
      <c r="AF723" s="126"/>
      <c r="AG723" s="126"/>
      <c r="AH723" s="127"/>
      <c r="AI723" s="126"/>
      <c r="AJ723" s="127"/>
      <c r="AK723" s="127"/>
      <c r="AL723" s="129"/>
      <c r="AM723" s="129"/>
      <c r="AN723" s="44"/>
      <c r="AO723" s="44"/>
    </row>
    <row r="724" spans="2:41" ht="15.5">
      <c r="B724" s="125"/>
      <c r="C724" s="126"/>
      <c r="D724" s="126"/>
      <c r="E724" s="127"/>
      <c r="F724" s="128"/>
      <c r="G724" s="126"/>
      <c r="H724" s="127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5"/>
      <c r="X724" s="126"/>
      <c r="Y724" s="126"/>
      <c r="Z724" s="126"/>
      <c r="AA724" s="126"/>
      <c r="AB724" s="126"/>
      <c r="AC724" s="126"/>
      <c r="AD724" s="126"/>
      <c r="AE724" s="127"/>
      <c r="AF724" s="126"/>
      <c r="AG724" s="126"/>
      <c r="AH724" s="127"/>
      <c r="AI724" s="126"/>
      <c r="AJ724" s="127"/>
      <c r="AK724" s="127"/>
      <c r="AL724" s="129"/>
      <c r="AM724" s="129"/>
      <c r="AN724" s="44"/>
      <c r="AO724" s="44"/>
    </row>
    <row r="725" spans="2:41" ht="15.5">
      <c r="B725" s="125"/>
      <c r="C725" s="126"/>
      <c r="D725" s="126"/>
      <c r="E725" s="127"/>
      <c r="F725" s="128"/>
      <c r="G725" s="126"/>
      <c r="H725" s="127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5"/>
      <c r="X725" s="126"/>
      <c r="Y725" s="126"/>
      <c r="Z725" s="126"/>
      <c r="AA725" s="126"/>
      <c r="AB725" s="126"/>
      <c r="AC725" s="126"/>
      <c r="AD725" s="126"/>
      <c r="AE725" s="127"/>
      <c r="AF725" s="126"/>
      <c r="AG725" s="126"/>
      <c r="AH725" s="127"/>
      <c r="AI725" s="126"/>
      <c r="AJ725" s="127"/>
      <c r="AK725" s="127"/>
      <c r="AL725" s="129"/>
      <c r="AM725" s="129"/>
      <c r="AN725" s="44"/>
      <c r="AO725" s="44"/>
    </row>
    <row r="726" spans="2:41" ht="15.5">
      <c r="B726" s="125"/>
      <c r="C726" s="126"/>
      <c r="D726" s="126"/>
      <c r="E726" s="127"/>
      <c r="F726" s="128"/>
      <c r="G726" s="126"/>
      <c r="H726" s="127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5"/>
      <c r="X726" s="126"/>
      <c r="Y726" s="126"/>
      <c r="Z726" s="126"/>
      <c r="AA726" s="126"/>
      <c r="AB726" s="126"/>
      <c r="AC726" s="126"/>
      <c r="AD726" s="126"/>
      <c r="AE726" s="127"/>
      <c r="AF726" s="126"/>
      <c r="AG726" s="126"/>
      <c r="AH726" s="127"/>
      <c r="AI726" s="126"/>
      <c r="AJ726" s="127"/>
      <c r="AK726" s="127"/>
      <c r="AL726" s="129"/>
      <c r="AM726" s="129"/>
      <c r="AN726" s="44"/>
      <c r="AO726" s="44"/>
    </row>
    <row r="727" spans="2:41" ht="15.5">
      <c r="B727" s="125"/>
      <c r="C727" s="126"/>
      <c r="D727" s="126"/>
      <c r="E727" s="127"/>
      <c r="F727" s="128"/>
      <c r="G727" s="126"/>
      <c r="H727" s="127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5"/>
      <c r="X727" s="126"/>
      <c r="Y727" s="126"/>
      <c r="Z727" s="126"/>
      <c r="AA727" s="126"/>
      <c r="AB727" s="126"/>
      <c r="AC727" s="126"/>
      <c r="AD727" s="126"/>
      <c r="AE727" s="127"/>
      <c r="AF727" s="126"/>
      <c r="AG727" s="126"/>
      <c r="AH727" s="127"/>
      <c r="AI727" s="126"/>
      <c r="AJ727" s="127"/>
      <c r="AK727" s="127"/>
      <c r="AL727" s="129"/>
      <c r="AM727" s="129"/>
      <c r="AN727" s="44"/>
      <c r="AO727" s="44"/>
    </row>
    <row r="728" spans="2:41" ht="15.5">
      <c r="B728" s="125"/>
      <c r="C728" s="126"/>
      <c r="D728" s="126"/>
      <c r="E728" s="127"/>
      <c r="F728" s="128"/>
      <c r="G728" s="126"/>
      <c r="H728" s="127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5"/>
      <c r="X728" s="126"/>
      <c r="Y728" s="126"/>
      <c r="Z728" s="126"/>
      <c r="AA728" s="126"/>
      <c r="AB728" s="126"/>
      <c r="AC728" s="126"/>
      <c r="AD728" s="126"/>
      <c r="AE728" s="127"/>
      <c r="AF728" s="126"/>
      <c r="AG728" s="126"/>
      <c r="AH728" s="127"/>
      <c r="AI728" s="126"/>
      <c r="AJ728" s="127"/>
      <c r="AK728" s="127"/>
      <c r="AL728" s="129"/>
      <c r="AM728" s="129"/>
      <c r="AN728" s="44"/>
      <c r="AO728" s="44"/>
    </row>
    <row r="729" spans="2:41" ht="15.5">
      <c r="B729" s="125"/>
      <c r="C729" s="126"/>
      <c r="D729" s="126"/>
      <c r="E729" s="127"/>
      <c r="F729" s="128"/>
      <c r="G729" s="126"/>
      <c r="H729" s="127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5"/>
      <c r="X729" s="126"/>
      <c r="Y729" s="126"/>
      <c r="Z729" s="126"/>
      <c r="AA729" s="126"/>
      <c r="AB729" s="126"/>
      <c r="AC729" s="126"/>
      <c r="AD729" s="126"/>
      <c r="AE729" s="127"/>
      <c r="AF729" s="126"/>
      <c r="AG729" s="126"/>
      <c r="AH729" s="127"/>
      <c r="AI729" s="126"/>
      <c r="AJ729" s="127"/>
      <c r="AK729" s="127"/>
      <c r="AL729" s="129"/>
      <c r="AM729" s="129"/>
      <c r="AN729" s="44"/>
      <c r="AO729" s="44"/>
    </row>
    <row r="730" spans="2:41" ht="15.5">
      <c r="B730" s="125"/>
      <c r="C730" s="126"/>
      <c r="D730" s="126"/>
      <c r="E730" s="127"/>
      <c r="F730" s="128"/>
      <c r="G730" s="126"/>
      <c r="H730" s="127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5"/>
      <c r="X730" s="126"/>
      <c r="Y730" s="126"/>
      <c r="Z730" s="126"/>
      <c r="AA730" s="126"/>
      <c r="AB730" s="126"/>
      <c r="AC730" s="126"/>
      <c r="AD730" s="126"/>
      <c r="AE730" s="127"/>
      <c r="AF730" s="126"/>
      <c r="AG730" s="126"/>
      <c r="AH730" s="127"/>
      <c r="AI730" s="126"/>
      <c r="AJ730" s="127"/>
      <c r="AK730" s="127"/>
      <c r="AL730" s="129"/>
      <c r="AM730" s="129"/>
      <c r="AN730" s="44"/>
      <c r="AO730" s="44"/>
    </row>
    <row r="731" spans="2:41" ht="15.5">
      <c r="B731" s="125"/>
      <c r="C731" s="126"/>
      <c r="D731" s="126"/>
      <c r="E731" s="127"/>
      <c r="F731" s="128"/>
      <c r="G731" s="126"/>
      <c r="H731" s="127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5"/>
      <c r="X731" s="126"/>
      <c r="Y731" s="126"/>
      <c r="Z731" s="126"/>
      <c r="AA731" s="126"/>
      <c r="AB731" s="126"/>
      <c r="AC731" s="126"/>
      <c r="AD731" s="126"/>
      <c r="AE731" s="127"/>
      <c r="AF731" s="126"/>
      <c r="AG731" s="126"/>
      <c r="AH731" s="127"/>
      <c r="AI731" s="126"/>
      <c r="AJ731" s="127"/>
      <c r="AK731" s="127"/>
      <c r="AL731" s="129"/>
      <c r="AM731" s="129"/>
      <c r="AN731" s="44"/>
      <c r="AO731" s="44"/>
    </row>
    <row r="732" spans="2:41" ht="15.5">
      <c r="B732" s="125"/>
      <c r="C732" s="126"/>
      <c r="D732" s="126"/>
      <c r="E732" s="127"/>
      <c r="F732" s="128"/>
      <c r="G732" s="126"/>
      <c r="H732" s="127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5"/>
      <c r="X732" s="126"/>
      <c r="Y732" s="126"/>
      <c r="Z732" s="126"/>
      <c r="AA732" s="126"/>
      <c r="AB732" s="126"/>
      <c r="AC732" s="126"/>
      <c r="AD732" s="126"/>
      <c r="AE732" s="127"/>
      <c r="AF732" s="126"/>
      <c r="AG732" s="126"/>
      <c r="AH732" s="127"/>
      <c r="AI732" s="126"/>
      <c r="AJ732" s="127"/>
      <c r="AK732" s="127"/>
      <c r="AL732" s="129"/>
      <c r="AM732" s="129"/>
      <c r="AN732" s="44"/>
      <c r="AO732" s="44"/>
    </row>
    <row r="733" spans="2:41" ht="15.5">
      <c r="B733" s="125"/>
      <c r="C733" s="126"/>
      <c r="D733" s="126"/>
      <c r="E733" s="127"/>
      <c r="F733" s="128"/>
      <c r="G733" s="126"/>
      <c r="H733" s="127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5"/>
      <c r="X733" s="126"/>
      <c r="Y733" s="126"/>
      <c r="Z733" s="126"/>
      <c r="AA733" s="126"/>
      <c r="AB733" s="126"/>
      <c r="AC733" s="126"/>
      <c r="AD733" s="126"/>
      <c r="AE733" s="127"/>
      <c r="AF733" s="126"/>
      <c r="AG733" s="126"/>
      <c r="AH733" s="127"/>
      <c r="AI733" s="126"/>
      <c r="AJ733" s="127"/>
      <c r="AK733" s="127"/>
      <c r="AL733" s="129"/>
      <c r="AM733" s="129"/>
      <c r="AN733" s="44"/>
      <c r="AO733" s="44"/>
    </row>
    <row r="734" spans="2:41" ht="15.5">
      <c r="B734" s="125"/>
      <c r="C734" s="126"/>
      <c r="D734" s="126"/>
      <c r="E734" s="127"/>
      <c r="F734" s="128"/>
      <c r="G734" s="126"/>
      <c r="H734" s="127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5"/>
      <c r="X734" s="126"/>
      <c r="Y734" s="126"/>
      <c r="Z734" s="126"/>
      <c r="AA734" s="126"/>
      <c r="AB734" s="126"/>
      <c r="AC734" s="126"/>
      <c r="AD734" s="126"/>
      <c r="AE734" s="127"/>
      <c r="AF734" s="126"/>
      <c r="AG734" s="126"/>
      <c r="AH734" s="127"/>
      <c r="AI734" s="126"/>
      <c r="AJ734" s="127"/>
      <c r="AK734" s="127"/>
      <c r="AL734" s="129"/>
      <c r="AM734" s="129"/>
      <c r="AN734" s="44"/>
      <c r="AO734" s="44"/>
    </row>
    <row r="735" spans="2:41" ht="15.5">
      <c r="B735" s="125"/>
      <c r="C735" s="126"/>
      <c r="D735" s="126"/>
      <c r="E735" s="127"/>
      <c r="F735" s="128"/>
      <c r="G735" s="126"/>
      <c r="H735" s="127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5"/>
      <c r="X735" s="126"/>
      <c r="Y735" s="126"/>
      <c r="Z735" s="126"/>
      <c r="AA735" s="126"/>
      <c r="AB735" s="126"/>
      <c r="AC735" s="126"/>
      <c r="AD735" s="126"/>
      <c r="AE735" s="127"/>
      <c r="AF735" s="126"/>
      <c r="AG735" s="126"/>
      <c r="AH735" s="127"/>
      <c r="AI735" s="126"/>
      <c r="AJ735" s="127"/>
      <c r="AK735" s="127"/>
      <c r="AL735" s="129"/>
      <c r="AM735" s="129"/>
      <c r="AN735" s="44"/>
      <c r="AO735" s="44"/>
    </row>
    <row r="736" spans="2:41" ht="15.5">
      <c r="B736" s="125"/>
      <c r="C736" s="126"/>
      <c r="D736" s="126"/>
      <c r="E736" s="127"/>
      <c r="F736" s="128"/>
      <c r="G736" s="126"/>
      <c r="H736" s="127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5"/>
      <c r="X736" s="126"/>
      <c r="Y736" s="126"/>
      <c r="Z736" s="126"/>
      <c r="AA736" s="126"/>
      <c r="AB736" s="126"/>
      <c r="AC736" s="126"/>
      <c r="AD736" s="126"/>
      <c r="AE736" s="127"/>
      <c r="AF736" s="126"/>
      <c r="AG736" s="126"/>
      <c r="AH736" s="127"/>
      <c r="AI736" s="126"/>
      <c r="AJ736" s="127"/>
      <c r="AK736" s="127"/>
      <c r="AL736" s="129"/>
      <c r="AM736" s="129"/>
      <c r="AN736" s="44"/>
      <c r="AO736" s="44"/>
    </row>
    <row r="737" spans="2:41" ht="15.5">
      <c r="B737" s="125"/>
      <c r="C737" s="126"/>
      <c r="D737" s="126"/>
      <c r="E737" s="127"/>
      <c r="F737" s="128"/>
      <c r="G737" s="126"/>
      <c r="H737" s="127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5"/>
      <c r="X737" s="126"/>
      <c r="Y737" s="126"/>
      <c r="Z737" s="126"/>
      <c r="AA737" s="126"/>
      <c r="AB737" s="126"/>
      <c r="AC737" s="126"/>
      <c r="AD737" s="126"/>
      <c r="AE737" s="127"/>
      <c r="AF737" s="126"/>
      <c r="AG737" s="126"/>
      <c r="AH737" s="127"/>
      <c r="AI737" s="126"/>
      <c r="AJ737" s="127"/>
      <c r="AK737" s="127"/>
      <c r="AL737" s="129"/>
      <c r="AM737" s="129"/>
      <c r="AN737" s="44"/>
      <c r="AO737" s="44"/>
    </row>
    <row r="738" spans="2:41" ht="15.5">
      <c r="B738" s="125"/>
      <c r="C738" s="126"/>
      <c r="D738" s="126"/>
      <c r="E738" s="127"/>
      <c r="F738" s="128"/>
      <c r="G738" s="126"/>
      <c r="H738" s="127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5"/>
      <c r="X738" s="126"/>
      <c r="Y738" s="126"/>
      <c r="Z738" s="126"/>
      <c r="AA738" s="126"/>
      <c r="AB738" s="126"/>
      <c r="AC738" s="126"/>
      <c r="AD738" s="126"/>
      <c r="AE738" s="127"/>
      <c r="AF738" s="126"/>
      <c r="AG738" s="126"/>
      <c r="AH738" s="127"/>
      <c r="AI738" s="126"/>
      <c r="AJ738" s="127"/>
      <c r="AK738" s="127"/>
      <c r="AL738" s="129"/>
      <c r="AM738" s="129"/>
      <c r="AN738" s="44"/>
      <c r="AO738" s="44"/>
    </row>
    <row r="739" spans="2:41" ht="15.5">
      <c r="B739" s="125"/>
      <c r="C739" s="126"/>
      <c r="D739" s="126"/>
      <c r="E739" s="127"/>
      <c r="F739" s="128"/>
      <c r="G739" s="126"/>
      <c r="H739" s="127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5"/>
      <c r="X739" s="126"/>
      <c r="Y739" s="126"/>
      <c r="Z739" s="126"/>
      <c r="AA739" s="126"/>
      <c r="AB739" s="126"/>
      <c r="AC739" s="126"/>
      <c r="AD739" s="126"/>
      <c r="AE739" s="127"/>
      <c r="AF739" s="126"/>
      <c r="AG739" s="126"/>
      <c r="AH739" s="127"/>
      <c r="AI739" s="126"/>
      <c r="AJ739" s="127"/>
      <c r="AK739" s="127"/>
      <c r="AL739" s="129"/>
      <c r="AM739" s="129"/>
      <c r="AN739" s="44"/>
      <c r="AO739" s="44"/>
    </row>
    <row r="740" spans="2:41" ht="15.5">
      <c r="B740" s="125"/>
      <c r="C740" s="126"/>
      <c r="D740" s="126"/>
      <c r="E740" s="127"/>
      <c r="F740" s="128"/>
      <c r="G740" s="126"/>
      <c r="H740" s="127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5"/>
      <c r="X740" s="126"/>
      <c r="Y740" s="126"/>
      <c r="Z740" s="126"/>
      <c r="AA740" s="126"/>
      <c r="AB740" s="126"/>
      <c r="AC740" s="126"/>
      <c r="AD740" s="126"/>
      <c r="AE740" s="127"/>
      <c r="AF740" s="126"/>
      <c r="AG740" s="126"/>
      <c r="AH740" s="127"/>
      <c r="AI740" s="126"/>
      <c r="AJ740" s="127"/>
      <c r="AK740" s="127"/>
      <c r="AL740" s="129"/>
      <c r="AM740" s="129"/>
      <c r="AN740" s="44"/>
      <c r="AO740" s="44"/>
    </row>
    <row r="741" spans="2:41" ht="15.5">
      <c r="B741" s="125"/>
      <c r="C741" s="126"/>
      <c r="D741" s="126"/>
      <c r="E741" s="127"/>
      <c r="F741" s="128"/>
      <c r="G741" s="126"/>
      <c r="H741" s="127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5"/>
      <c r="X741" s="126"/>
      <c r="Y741" s="126"/>
      <c r="Z741" s="126"/>
      <c r="AA741" s="126"/>
      <c r="AB741" s="126"/>
      <c r="AC741" s="126"/>
      <c r="AD741" s="126"/>
      <c r="AE741" s="127"/>
      <c r="AF741" s="126"/>
      <c r="AG741" s="126"/>
      <c r="AH741" s="127"/>
      <c r="AI741" s="126"/>
      <c r="AJ741" s="127"/>
      <c r="AK741" s="127"/>
      <c r="AL741" s="129"/>
      <c r="AM741" s="129"/>
      <c r="AN741" s="44"/>
      <c r="AO741" s="44"/>
    </row>
    <row r="742" spans="2:41" ht="15.5">
      <c r="B742" s="125"/>
      <c r="C742" s="126"/>
      <c r="D742" s="126"/>
      <c r="E742" s="127"/>
      <c r="F742" s="128"/>
      <c r="G742" s="126"/>
      <c r="H742" s="127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5"/>
      <c r="X742" s="126"/>
      <c r="Y742" s="126"/>
      <c r="Z742" s="126"/>
      <c r="AA742" s="126"/>
      <c r="AB742" s="126"/>
      <c r="AC742" s="126"/>
      <c r="AD742" s="126"/>
      <c r="AE742" s="127"/>
      <c r="AF742" s="126"/>
      <c r="AG742" s="126"/>
      <c r="AH742" s="127"/>
      <c r="AI742" s="126"/>
      <c r="AJ742" s="127"/>
      <c r="AK742" s="127"/>
      <c r="AL742" s="129"/>
      <c r="AM742" s="129"/>
      <c r="AN742" s="44"/>
      <c r="AO742" s="44"/>
    </row>
    <row r="743" spans="2:41" ht="15.5">
      <c r="B743" s="125"/>
      <c r="C743" s="126"/>
      <c r="D743" s="126"/>
      <c r="E743" s="127"/>
      <c r="F743" s="128"/>
      <c r="G743" s="126"/>
      <c r="H743" s="127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5"/>
      <c r="X743" s="126"/>
      <c r="Y743" s="126"/>
      <c r="Z743" s="126"/>
      <c r="AA743" s="126"/>
      <c r="AB743" s="126"/>
      <c r="AC743" s="126"/>
      <c r="AD743" s="126"/>
      <c r="AE743" s="127"/>
      <c r="AF743" s="126"/>
      <c r="AG743" s="126"/>
      <c r="AH743" s="127"/>
      <c r="AI743" s="126"/>
      <c r="AJ743" s="127"/>
      <c r="AK743" s="127"/>
      <c r="AL743" s="129"/>
      <c r="AM743" s="129"/>
      <c r="AN743" s="44"/>
      <c r="AO743" s="44"/>
    </row>
    <row r="744" spans="2:41" ht="15.5">
      <c r="B744" s="125"/>
      <c r="C744" s="126"/>
      <c r="D744" s="126"/>
      <c r="E744" s="127"/>
      <c r="F744" s="128"/>
      <c r="G744" s="126"/>
      <c r="H744" s="127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5"/>
      <c r="X744" s="126"/>
      <c r="Y744" s="126"/>
      <c r="Z744" s="126"/>
      <c r="AA744" s="126"/>
      <c r="AB744" s="126"/>
      <c r="AC744" s="126"/>
      <c r="AD744" s="126"/>
      <c r="AE744" s="127"/>
      <c r="AF744" s="126"/>
      <c r="AG744" s="126"/>
      <c r="AH744" s="127"/>
      <c r="AI744" s="126"/>
      <c r="AJ744" s="127"/>
      <c r="AK744" s="127"/>
      <c r="AL744" s="129"/>
      <c r="AM744" s="129"/>
      <c r="AN744" s="44"/>
      <c r="AO744" s="44"/>
    </row>
    <row r="745" spans="2:41" ht="15.5">
      <c r="B745" s="125"/>
      <c r="C745" s="126"/>
      <c r="D745" s="126"/>
      <c r="E745" s="127"/>
      <c r="F745" s="128"/>
      <c r="G745" s="126"/>
      <c r="H745" s="127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5"/>
      <c r="X745" s="126"/>
      <c r="Y745" s="126"/>
      <c r="Z745" s="126"/>
      <c r="AA745" s="126"/>
      <c r="AB745" s="126"/>
      <c r="AC745" s="126"/>
      <c r="AD745" s="126"/>
      <c r="AE745" s="127"/>
      <c r="AF745" s="126"/>
      <c r="AG745" s="126"/>
      <c r="AH745" s="127"/>
      <c r="AI745" s="126"/>
      <c r="AJ745" s="127"/>
      <c r="AK745" s="127"/>
      <c r="AL745" s="129"/>
      <c r="AM745" s="129"/>
      <c r="AN745" s="44"/>
      <c r="AO745" s="44"/>
    </row>
    <row r="746" spans="2:41" ht="15.5">
      <c r="B746" s="125"/>
      <c r="C746" s="126"/>
      <c r="D746" s="126"/>
      <c r="E746" s="127"/>
      <c r="F746" s="128"/>
      <c r="G746" s="126"/>
      <c r="H746" s="127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5"/>
      <c r="X746" s="126"/>
      <c r="Y746" s="126"/>
      <c r="Z746" s="126"/>
      <c r="AA746" s="126"/>
      <c r="AB746" s="126"/>
      <c r="AC746" s="126"/>
      <c r="AD746" s="126"/>
      <c r="AE746" s="127"/>
      <c r="AF746" s="126"/>
      <c r="AG746" s="126"/>
      <c r="AH746" s="127"/>
      <c r="AI746" s="126"/>
      <c r="AJ746" s="127"/>
      <c r="AK746" s="127"/>
      <c r="AL746" s="129"/>
      <c r="AM746" s="129"/>
      <c r="AN746" s="44"/>
      <c r="AO746" s="44"/>
    </row>
    <row r="747" spans="2:41" ht="15.5">
      <c r="B747" s="125"/>
      <c r="C747" s="126"/>
      <c r="D747" s="126"/>
      <c r="E747" s="127"/>
      <c r="F747" s="128"/>
      <c r="G747" s="126"/>
      <c r="H747" s="127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5"/>
      <c r="X747" s="126"/>
      <c r="Y747" s="126"/>
      <c r="Z747" s="126"/>
      <c r="AA747" s="126"/>
      <c r="AB747" s="126"/>
      <c r="AC747" s="126"/>
      <c r="AD747" s="126"/>
      <c r="AE747" s="127"/>
      <c r="AF747" s="126"/>
      <c r="AG747" s="126"/>
      <c r="AH747" s="127"/>
      <c r="AI747" s="126"/>
      <c r="AJ747" s="127"/>
      <c r="AK747" s="127"/>
      <c r="AL747" s="129"/>
      <c r="AM747" s="129"/>
      <c r="AN747" s="44"/>
      <c r="AO747" s="44"/>
    </row>
    <row r="748" spans="2:41" ht="15.5">
      <c r="B748" s="125"/>
      <c r="C748" s="126"/>
      <c r="D748" s="126"/>
      <c r="E748" s="127"/>
      <c r="F748" s="128"/>
      <c r="G748" s="126"/>
      <c r="H748" s="127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5"/>
      <c r="X748" s="126"/>
      <c r="Y748" s="126"/>
      <c r="Z748" s="126"/>
      <c r="AA748" s="126"/>
      <c r="AB748" s="126"/>
      <c r="AC748" s="126"/>
      <c r="AD748" s="126"/>
      <c r="AE748" s="127"/>
      <c r="AF748" s="126"/>
      <c r="AG748" s="126"/>
      <c r="AH748" s="127"/>
      <c r="AI748" s="126"/>
      <c r="AJ748" s="127"/>
      <c r="AK748" s="127"/>
      <c r="AL748" s="129"/>
      <c r="AM748" s="129"/>
      <c r="AN748" s="44"/>
      <c r="AO748" s="44"/>
    </row>
    <row r="749" spans="2:41" ht="15.5">
      <c r="B749" s="125"/>
      <c r="C749" s="126"/>
      <c r="D749" s="126"/>
      <c r="E749" s="127"/>
      <c r="F749" s="128"/>
      <c r="G749" s="126"/>
      <c r="H749" s="127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5"/>
      <c r="X749" s="126"/>
      <c r="Y749" s="126"/>
      <c r="Z749" s="126"/>
      <c r="AA749" s="126"/>
      <c r="AB749" s="126"/>
      <c r="AC749" s="126"/>
      <c r="AD749" s="126"/>
      <c r="AE749" s="127"/>
      <c r="AF749" s="126"/>
      <c r="AG749" s="126"/>
      <c r="AH749" s="127"/>
      <c r="AI749" s="126"/>
      <c r="AJ749" s="127"/>
      <c r="AK749" s="127"/>
      <c r="AL749" s="129"/>
      <c r="AM749" s="129"/>
      <c r="AN749" s="44"/>
      <c r="AO749" s="44"/>
    </row>
    <row r="750" spans="2:41" ht="15.5">
      <c r="B750" s="125"/>
      <c r="C750" s="126"/>
      <c r="D750" s="126"/>
      <c r="E750" s="127"/>
      <c r="F750" s="128"/>
      <c r="G750" s="126"/>
      <c r="H750" s="127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5"/>
      <c r="X750" s="126"/>
      <c r="Y750" s="126"/>
      <c r="Z750" s="126"/>
      <c r="AA750" s="126"/>
      <c r="AB750" s="126"/>
      <c r="AC750" s="126"/>
      <c r="AD750" s="126"/>
      <c r="AE750" s="127"/>
      <c r="AF750" s="126"/>
      <c r="AG750" s="126"/>
      <c r="AH750" s="127"/>
      <c r="AI750" s="126"/>
      <c r="AJ750" s="127"/>
      <c r="AK750" s="127"/>
      <c r="AL750" s="129"/>
      <c r="AM750" s="129"/>
      <c r="AN750" s="44"/>
      <c r="AO750" s="44"/>
    </row>
    <row r="751" spans="2:41" ht="15.5">
      <c r="B751" s="125"/>
      <c r="C751" s="126"/>
      <c r="D751" s="126"/>
      <c r="E751" s="127"/>
      <c r="F751" s="128"/>
      <c r="G751" s="126"/>
      <c r="H751" s="127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5"/>
      <c r="X751" s="126"/>
      <c r="Y751" s="126"/>
      <c r="Z751" s="126"/>
      <c r="AA751" s="126"/>
      <c r="AB751" s="126"/>
      <c r="AC751" s="126"/>
      <c r="AD751" s="126"/>
      <c r="AE751" s="127"/>
      <c r="AF751" s="126"/>
      <c r="AG751" s="126"/>
      <c r="AH751" s="127"/>
      <c r="AI751" s="126"/>
      <c r="AJ751" s="127"/>
      <c r="AK751" s="127"/>
      <c r="AL751" s="129"/>
      <c r="AM751" s="129"/>
      <c r="AN751" s="44"/>
      <c r="AO751" s="44"/>
    </row>
    <row r="752" spans="2:41" ht="15.5">
      <c r="B752" s="125"/>
      <c r="C752" s="126"/>
      <c r="D752" s="126"/>
      <c r="E752" s="127"/>
      <c r="F752" s="128"/>
      <c r="G752" s="126"/>
      <c r="H752" s="127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5"/>
      <c r="X752" s="126"/>
      <c r="Y752" s="126"/>
      <c r="Z752" s="126"/>
      <c r="AA752" s="126"/>
      <c r="AB752" s="126"/>
      <c r="AC752" s="126"/>
      <c r="AD752" s="126"/>
      <c r="AE752" s="127"/>
      <c r="AF752" s="126"/>
      <c r="AG752" s="126"/>
      <c r="AH752" s="127"/>
      <c r="AI752" s="126"/>
      <c r="AJ752" s="127"/>
      <c r="AK752" s="127"/>
      <c r="AL752" s="129"/>
      <c r="AM752" s="129"/>
      <c r="AN752" s="44"/>
      <c r="AO752" s="44"/>
    </row>
    <row r="753" spans="2:41" ht="15.5">
      <c r="B753" s="125"/>
      <c r="C753" s="126"/>
      <c r="D753" s="126"/>
      <c r="E753" s="127"/>
      <c r="F753" s="128"/>
      <c r="G753" s="126"/>
      <c r="H753" s="127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5"/>
      <c r="X753" s="126"/>
      <c r="Y753" s="126"/>
      <c r="Z753" s="126"/>
      <c r="AA753" s="126"/>
      <c r="AB753" s="126"/>
      <c r="AC753" s="126"/>
      <c r="AD753" s="126"/>
      <c r="AE753" s="127"/>
      <c r="AF753" s="126"/>
      <c r="AG753" s="126"/>
      <c r="AH753" s="127"/>
      <c r="AI753" s="126"/>
      <c r="AJ753" s="127"/>
      <c r="AK753" s="127"/>
      <c r="AL753" s="129"/>
      <c r="AM753" s="129"/>
      <c r="AN753" s="44"/>
      <c r="AO753" s="44"/>
    </row>
    <row r="754" spans="2:41" ht="15.5">
      <c r="B754" s="125"/>
      <c r="C754" s="126"/>
      <c r="D754" s="126"/>
      <c r="E754" s="127"/>
      <c r="F754" s="128"/>
      <c r="G754" s="126"/>
      <c r="H754" s="127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5"/>
      <c r="X754" s="126"/>
      <c r="Y754" s="126"/>
      <c r="Z754" s="126"/>
      <c r="AA754" s="126"/>
      <c r="AB754" s="126"/>
      <c r="AC754" s="126"/>
      <c r="AD754" s="126"/>
      <c r="AE754" s="127"/>
      <c r="AF754" s="126"/>
      <c r="AG754" s="126"/>
      <c r="AH754" s="127"/>
      <c r="AI754" s="126"/>
      <c r="AJ754" s="127"/>
      <c r="AK754" s="127"/>
      <c r="AL754" s="129"/>
      <c r="AM754" s="129"/>
      <c r="AN754" s="44"/>
      <c r="AO754" s="44"/>
    </row>
    <row r="755" spans="2:41" ht="15.5">
      <c r="B755" s="125"/>
      <c r="C755" s="126"/>
      <c r="D755" s="126"/>
      <c r="E755" s="127"/>
      <c r="F755" s="128"/>
      <c r="G755" s="126"/>
      <c r="H755" s="127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5"/>
      <c r="X755" s="126"/>
      <c r="Y755" s="126"/>
      <c r="Z755" s="126"/>
      <c r="AA755" s="126"/>
      <c r="AB755" s="126"/>
      <c r="AC755" s="126"/>
      <c r="AD755" s="126"/>
      <c r="AE755" s="127"/>
      <c r="AF755" s="126"/>
      <c r="AG755" s="126"/>
      <c r="AH755" s="127"/>
      <c r="AI755" s="126"/>
      <c r="AJ755" s="127"/>
      <c r="AK755" s="127"/>
      <c r="AL755" s="129"/>
      <c r="AM755" s="129"/>
      <c r="AN755" s="44"/>
      <c r="AO755" s="44"/>
    </row>
    <row r="756" spans="2:41" ht="15.5">
      <c r="B756" s="125"/>
      <c r="C756" s="126"/>
      <c r="D756" s="126"/>
      <c r="E756" s="127"/>
      <c r="F756" s="128"/>
      <c r="G756" s="126"/>
      <c r="H756" s="127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5"/>
      <c r="X756" s="126"/>
      <c r="Y756" s="126"/>
      <c r="Z756" s="126"/>
      <c r="AA756" s="126"/>
      <c r="AB756" s="126"/>
      <c r="AC756" s="126"/>
      <c r="AD756" s="126"/>
      <c r="AE756" s="127"/>
      <c r="AF756" s="126"/>
      <c r="AG756" s="126"/>
      <c r="AH756" s="127"/>
      <c r="AI756" s="126"/>
      <c r="AJ756" s="127"/>
      <c r="AK756" s="127"/>
      <c r="AL756" s="129"/>
      <c r="AM756" s="129"/>
      <c r="AN756" s="44"/>
      <c r="AO756" s="44"/>
    </row>
    <row r="757" spans="2:41" ht="15.5">
      <c r="B757" s="125"/>
      <c r="C757" s="126"/>
      <c r="D757" s="126"/>
      <c r="E757" s="127"/>
      <c r="F757" s="128"/>
      <c r="G757" s="126"/>
      <c r="H757" s="127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5"/>
      <c r="X757" s="126"/>
      <c r="Y757" s="126"/>
      <c r="Z757" s="126"/>
      <c r="AA757" s="126"/>
      <c r="AB757" s="126"/>
      <c r="AC757" s="126"/>
      <c r="AD757" s="126"/>
      <c r="AE757" s="127"/>
      <c r="AF757" s="126"/>
      <c r="AG757" s="126"/>
      <c r="AH757" s="127"/>
      <c r="AI757" s="126"/>
      <c r="AJ757" s="127"/>
      <c r="AK757" s="127"/>
      <c r="AL757" s="129"/>
      <c r="AM757" s="129"/>
      <c r="AN757" s="44"/>
      <c r="AO757" s="44"/>
    </row>
    <row r="758" spans="2:41" ht="15.5">
      <c r="B758" s="125"/>
      <c r="C758" s="126"/>
      <c r="D758" s="126"/>
      <c r="E758" s="127"/>
      <c r="F758" s="128"/>
      <c r="G758" s="126"/>
      <c r="H758" s="127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5"/>
      <c r="X758" s="126"/>
      <c r="Y758" s="126"/>
      <c r="Z758" s="126"/>
      <c r="AA758" s="126"/>
      <c r="AB758" s="126"/>
      <c r="AC758" s="126"/>
      <c r="AD758" s="126"/>
      <c r="AE758" s="127"/>
      <c r="AF758" s="126"/>
      <c r="AG758" s="126"/>
      <c r="AH758" s="127"/>
      <c r="AI758" s="126"/>
      <c r="AJ758" s="127"/>
      <c r="AK758" s="127"/>
      <c r="AL758" s="129"/>
      <c r="AM758" s="129"/>
      <c r="AN758" s="44"/>
      <c r="AO758" s="44"/>
    </row>
    <row r="759" spans="2:41" ht="15.5">
      <c r="B759" s="125"/>
      <c r="C759" s="126"/>
      <c r="D759" s="126"/>
      <c r="E759" s="127"/>
      <c r="F759" s="128"/>
      <c r="G759" s="126"/>
      <c r="H759" s="127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5"/>
      <c r="X759" s="126"/>
      <c r="Y759" s="126"/>
      <c r="Z759" s="126"/>
      <c r="AA759" s="126"/>
      <c r="AB759" s="126"/>
      <c r="AC759" s="126"/>
      <c r="AD759" s="126"/>
      <c r="AE759" s="127"/>
      <c r="AF759" s="126"/>
      <c r="AG759" s="126"/>
      <c r="AH759" s="127"/>
      <c r="AI759" s="126"/>
      <c r="AJ759" s="127"/>
      <c r="AK759" s="127"/>
      <c r="AL759" s="129"/>
      <c r="AM759" s="129"/>
      <c r="AN759" s="44"/>
      <c r="AO759" s="44"/>
    </row>
    <row r="760" spans="2:41" ht="15.5">
      <c r="B760" s="125"/>
      <c r="C760" s="126"/>
      <c r="D760" s="126"/>
      <c r="E760" s="127"/>
      <c r="F760" s="128"/>
      <c r="G760" s="126"/>
      <c r="H760" s="127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5"/>
      <c r="X760" s="126"/>
      <c r="Y760" s="126"/>
      <c r="Z760" s="126"/>
      <c r="AA760" s="126"/>
      <c r="AB760" s="126"/>
      <c r="AC760" s="126"/>
      <c r="AD760" s="126"/>
      <c r="AE760" s="127"/>
      <c r="AF760" s="126"/>
      <c r="AG760" s="126"/>
      <c r="AH760" s="127"/>
      <c r="AI760" s="126"/>
      <c r="AJ760" s="127"/>
      <c r="AK760" s="127"/>
      <c r="AL760" s="129"/>
      <c r="AM760" s="129"/>
      <c r="AN760" s="44"/>
      <c r="AO760" s="44"/>
    </row>
    <row r="761" spans="2:41" ht="15.5">
      <c r="B761" s="125"/>
      <c r="C761" s="126"/>
      <c r="D761" s="126"/>
      <c r="E761" s="127"/>
      <c r="F761" s="128"/>
      <c r="G761" s="126"/>
      <c r="H761" s="127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5"/>
      <c r="X761" s="126"/>
      <c r="Y761" s="126"/>
      <c r="Z761" s="126"/>
      <c r="AA761" s="126"/>
      <c r="AB761" s="126"/>
      <c r="AC761" s="126"/>
      <c r="AD761" s="126"/>
      <c r="AE761" s="127"/>
      <c r="AF761" s="126"/>
      <c r="AG761" s="126"/>
      <c r="AH761" s="127"/>
      <c r="AI761" s="126"/>
      <c r="AJ761" s="127"/>
      <c r="AK761" s="127"/>
      <c r="AL761" s="129"/>
      <c r="AM761" s="129"/>
      <c r="AN761" s="44"/>
      <c r="AO761" s="44"/>
    </row>
    <row r="762" spans="2:41" ht="15.5">
      <c r="B762" s="125"/>
      <c r="C762" s="126"/>
      <c r="D762" s="126"/>
      <c r="E762" s="127"/>
      <c r="F762" s="128"/>
      <c r="G762" s="126"/>
      <c r="H762" s="127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5"/>
      <c r="X762" s="126"/>
      <c r="Y762" s="126"/>
      <c r="Z762" s="126"/>
      <c r="AA762" s="126"/>
      <c r="AB762" s="126"/>
      <c r="AC762" s="126"/>
      <c r="AD762" s="126"/>
      <c r="AE762" s="127"/>
      <c r="AF762" s="126"/>
      <c r="AG762" s="126"/>
      <c r="AH762" s="127"/>
      <c r="AI762" s="126"/>
      <c r="AJ762" s="127"/>
      <c r="AK762" s="127"/>
      <c r="AL762" s="129"/>
      <c r="AM762" s="129"/>
      <c r="AN762" s="44"/>
      <c r="AO762" s="44"/>
    </row>
    <row r="763" spans="2:41" ht="15.5">
      <c r="B763" s="125"/>
      <c r="C763" s="126"/>
      <c r="D763" s="126"/>
      <c r="E763" s="127"/>
      <c r="F763" s="128"/>
      <c r="G763" s="126"/>
      <c r="H763" s="127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5"/>
      <c r="X763" s="126"/>
      <c r="Y763" s="126"/>
      <c r="Z763" s="126"/>
      <c r="AA763" s="126"/>
      <c r="AB763" s="126"/>
      <c r="AC763" s="126"/>
      <c r="AD763" s="126"/>
      <c r="AE763" s="127"/>
      <c r="AF763" s="126"/>
      <c r="AG763" s="126"/>
      <c r="AH763" s="127"/>
      <c r="AI763" s="126"/>
      <c r="AJ763" s="127"/>
      <c r="AK763" s="127"/>
      <c r="AL763" s="129"/>
      <c r="AM763" s="129"/>
      <c r="AN763" s="44"/>
      <c r="AO763" s="44"/>
    </row>
    <row r="764" spans="2:41" ht="15.5">
      <c r="B764" s="125"/>
      <c r="C764" s="126"/>
      <c r="D764" s="126"/>
      <c r="E764" s="127"/>
      <c r="F764" s="128"/>
      <c r="G764" s="126"/>
      <c r="H764" s="127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5"/>
      <c r="X764" s="126"/>
      <c r="Y764" s="126"/>
      <c r="Z764" s="126"/>
      <c r="AA764" s="126"/>
      <c r="AB764" s="126"/>
      <c r="AC764" s="126"/>
      <c r="AD764" s="126"/>
      <c r="AE764" s="127"/>
      <c r="AF764" s="126"/>
      <c r="AG764" s="126"/>
      <c r="AH764" s="127"/>
      <c r="AI764" s="126"/>
      <c r="AJ764" s="127"/>
      <c r="AK764" s="127"/>
      <c r="AL764" s="129"/>
      <c r="AM764" s="129"/>
      <c r="AN764" s="44"/>
      <c r="AO764" s="44"/>
    </row>
    <row r="765" spans="2:41" ht="15.5">
      <c r="B765" s="125"/>
      <c r="C765" s="126"/>
      <c r="D765" s="126"/>
      <c r="E765" s="127"/>
      <c r="F765" s="128"/>
      <c r="G765" s="126"/>
      <c r="H765" s="127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5"/>
      <c r="X765" s="126"/>
      <c r="Y765" s="126"/>
      <c r="Z765" s="126"/>
      <c r="AA765" s="126"/>
      <c r="AB765" s="126"/>
      <c r="AC765" s="126"/>
      <c r="AD765" s="126"/>
      <c r="AE765" s="127"/>
      <c r="AF765" s="126"/>
      <c r="AG765" s="126"/>
      <c r="AH765" s="127"/>
      <c r="AI765" s="126"/>
      <c r="AJ765" s="127"/>
      <c r="AK765" s="127"/>
      <c r="AL765" s="129"/>
      <c r="AM765" s="129"/>
      <c r="AN765" s="44"/>
      <c r="AO765" s="44"/>
    </row>
    <row r="766" spans="2:41" ht="15.5">
      <c r="B766" s="125"/>
      <c r="C766" s="126"/>
      <c r="D766" s="126"/>
      <c r="E766" s="127"/>
      <c r="F766" s="128"/>
      <c r="G766" s="126"/>
      <c r="H766" s="127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5"/>
      <c r="X766" s="126"/>
      <c r="Y766" s="126"/>
      <c r="Z766" s="126"/>
      <c r="AA766" s="126"/>
      <c r="AB766" s="126"/>
      <c r="AC766" s="126"/>
      <c r="AD766" s="126"/>
      <c r="AE766" s="127"/>
      <c r="AF766" s="126"/>
      <c r="AG766" s="126"/>
      <c r="AH766" s="127"/>
      <c r="AI766" s="126"/>
      <c r="AJ766" s="127"/>
      <c r="AK766" s="127"/>
      <c r="AL766" s="129"/>
      <c r="AM766" s="129"/>
      <c r="AN766" s="44"/>
      <c r="AO766" s="44"/>
    </row>
    <row r="767" spans="2:41" ht="15.5">
      <c r="B767" s="125"/>
      <c r="C767" s="126"/>
      <c r="D767" s="126"/>
      <c r="E767" s="127"/>
      <c r="F767" s="128"/>
      <c r="G767" s="126"/>
      <c r="H767" s="127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5"/>
      <c r="X767" s="126"/>
      <c r="Y767" s="126"/>
      <c r="Z767" s="126"/>
      <c r="AA767" s="126"/>
      <c r="AB767" s="126"/>
      <c r="AC767" s="126"/>
      <c r="AD767" s="126"/>
      <c r="AE767" s="127"/>
      <c r="AF767" s="126"/>
      <c r="AG767" s="126"/>
      <c r="AH767" s="127"/>
      <c r="AI767" s="126"/>
      <c r="AJ767" s="127"/>
      <c r="AK767" s="127"/>
      <c r="AL767" s="129"/>
      <c r="AM767" s="129"/>
      <c r="AN767" s="44"/>
      <c r="AO767" s="44"/>
    </row>
    <row r="768" spans="2:41" ht="15.5">
      <c r="B768" s="125"/>
      <c r="C768" s="126"/>
      <c r="D768" s="126"/>
      <c r="E768" s="127"/>
      <c r="F768" s="128"/>
      <c r="G768" s="126"/>
      <c r="H768" s="127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5"/>
      <c r="X768" s="126"/>
      <c r="Y768" s="126"/>
      <c r="Z768" s="126"/>
      <c r="AA768" s="126"/>
      <c r="AB768" s="126"/>
      <c r="AC768" s="126"/>
      <c r="AD768" s="126"/>
      <c r="AE768" s="127"/>
      <c r="AF768" s="126"/>
      <c r="AG768" s="126"/>
      <c r="AH768" s="127"/>
      <c r="AI768" s="126"/>
      <c r="AJ768" s="127"/>
      <c r="AK768" s="127"/>
      <c r="AL768" s="129"/>
      <c r="AM768" s="129"/>
      <c r="AN768" s="44"/>
      <c r="AO768" s="44"/>
    </row>
    <row r="769" spans="2:41" ht="15.5">
      <c r="B769" s="125"/>
      <c r="C769" s="126"/>
      <c r="D769" s="126"/>
      <c r="E769" s="127"/>
      <c r="F769" s="128"/>
      <c r="G769" s="126"/>
      <c r="H769" s="127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5"/>
      <c r="X769" s="126"/>
      <c r="Y769" s="126"/>
      <c r="Z769" s="126"/>
      <c r="AA769" s="126"/>
      <c r="AB769" s="126"/>
      <c r="AC769" s="126"/>
      <c r="AD769" s="126"/>
      <c r="AE769" s="127"/>
      <c r="AF769" s="126"/>
      <c r="AG769" s="126"/>
      <c r="AH769" s="127"/>
      <c r="AI769" s="126"/>
      <c r="AJ769" s="127"/>
      <c r="AK769" s="127"/>
      <c r="AL769" s="129"/>
      <c r="AM769" s="129"/>
      <c r="AN769" s="44"/>
      <c r="AO769" s="44"/>
    </row>
    <row r="770" spans="2:41" ht="15.5">
      <c r="B770" s="125"/>
      <c r="C770" s="126"/>
      <c r="D770" s="126"/>
      <c r="E770" s="127"/>
      <c r="F770" s="128"/>
      <c r="G770" s="126"/>
      <c r="H770" s="127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5"/>
      <c r="X770" s="126"/>
      <c r="Y770" s="126"/>
      <c r="Z770" s="126"/>
      <c r="AA770" s="126"/>
      <c r="AB770" s="126"/>
      <c r="AC770" s="126"/>
      <c r="AD770" s="126"/>
      <c r="AE770" s="127"/>
      <c r="AF770" s="126"/>
      <c r="AG770" s="126"/>
      <c r="AH770" s="127"/>
      <c r="AI770" s="126"/>
      <c r="AJ770" s="127"/>
      <c r="AK770" s="127"/>
      <c r="AL770" s="129"/>
      <c r="AM770" s="129"/>
      <c r="AN770" s="44"/>
      <c r="AO770" s="44"/>
    </row>
    <row r="771" spans="2:41" ht="15.5">
      <c r="B771" s="125"/>
      <c r="C771" s="126"/>
      <c r="D771" s="126"/>
      <c r="E771" s="127"/>
      <c r="F771" s="128"/>
      <c r="G771" s="126"/>
      <c r="H771" s="127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5"/>
      <c r="X771" s="126"/>
      <c r="Y771" s="126"/>
      <c r="Z771" s="126"/>
      <c r="AA771" s="126"/>
      <c r="AB771" s="126"/>
      <c r="AC771" s="126"/>
      <c r="AD771" s="126"/>
      <c r="AE771" s="127"/>
      <c r="AF771" s="126"/>
      <c r="AG771" s="126"/>
      <c r="AH771" s="127"/>
      <c r="AI771" s="126"/>
      <c r="AJ771" s="127"/>
      <c r="AK771" s="127"/>
      <c r="AL771" s="129"/>
      <c r="AM771" s="129"/>
      <c r="AN771" s="44"/>
      <c r="AO771" s="44"/>
    </row>
    <row r="772" spans="2:41" ht="15.5">
      <c r="B772" s="125"/>
      <c r="C772" s="126"/>
      <c r="D772" s="126"/>
      <c r="E772" s="127"/>
      <c r="F772" s="128"/>
      <c r="G772" s="126"/>
      <c r="H772" s="127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5"/>
      <c r="X772" s="126"/>
      <c r="Y772" s="126"/>
      <c r="Z772" s="126"/>
      <c r="AA772" s="126"/>
      <c r="AB772" s="126"/>
      <c r="AC772" s="126"/>
      <c r="AD772" s="126"/>
      <c r="AE772" s="127"/>
      <c r="AF772" s="126"/>
      <c r="AG772" s="126"/>
      <c r="AH772" s="127"/>
      <c r="AI772" s="126"/>
      <c r="AJ772" s="127"/>
      <c r="AK772" s="127"/>
      <c r="AL772" s="129"/>
      <c r="AM772" s="129"/>
      <c r="AN772" s="44"/>
      <c r="AO772" s="44"/>
    </row>
    <row r="773" spans="2:41" ht="15.5">
      <c r="B773" s="125"/>
      <c r="C773" s="126"/>
      <c r="D773" s="126"/>
      <c r="E773" s="127"/>
      <c r="F773" s="128"/>
      <c r="G773" s="126"/>
      <c r="H773" s="127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5"/>
      <c r="X773" s="126"/>
      <c r="Y773" s="126"/>
      <c r="Z773" s="126"/>
      <c r="AA773" s="126"/>
      <c r="AB773" s="126"/>
      <c r="AC773" s="126"/>
      <c r="AD773" s="126"/>
      <c r="AE773" s="127"/>
      <c r="AF773" s="126"/>
      <c r="AG773" s="126"/>
      <c r="AH773" s="127"/>
      <c r="AI773" s="126"/>
      <c r="AJ773" s="127"/>
      <c r="AK773" s="127"/>
      <c r="AL773" s="129"/>
      <c r="AM773" s="129"/>
      <c r="AN773" s="44"/>
      <c r="AO773" s="44"/>
    </row>
    <row r="774" spans="2:41" ht="15.5">
      <c r="B774" s="125"/>
      <c r="C774" s="126"/>
      <c r="D774" s="126"/>
      <c r="E774" s="127"/>
      <c r="F774" s="128"/>
      <c r="G774" s="126"/>
      <c r="H774" s="127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5"/>
      <c r="X774" s="126"/>
      <c r="Y774" s="126"/>
      <c r="Z774" s="126"/>
      <c r="AA774" s="126"/>
      <c r="AB774" s="126"/>
      <c r="AC774" s="126"/>
      <c r="AD774" s="126"/>
      <c r="AE774" s="127"/>
      <c r="AF774" s="126"/>
      <c r="AG774" s="126"/>
      <c r="AH774" s="127"/>
      <c r="AI774" s="126"/>
      <c r="AJ774" s="127"/>
      <c r="AK774" s="127"/>
      <c r="AL774" s="129"/>
      <c r="AM774" s="129"/>
      <c r="AN774" s="44"/>
      <c r="AO774" s="44"/>
    </row>
    <row r="775" spans="2:41" ht="15.5">
      <c r="B775" s="125"/>
      <c r="C775" s="126"/>
      <c r="D775" s="126"/>
      <c r="E775" s="127"/>
      <c r="F775" s="128"/>
      <c r="G775" s="126"/>
      <c r="H775" s="127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5"/>
      <c r="X775" s="126"/>
      <c r="Y775" s="126"/>
      <c r="Z775" s="126"/>
      <c r="AA775" s="126"/>
      <c r="AB775" s="126"/>
      <c r="AC775" s="126"/>
      <c r="AD775" s="126"/>
      <c r="AE775" s="127"/>
      <c r="AF775" s="126"/>
      <c r="AG775" s="126"/>
      <c r="AH775" s="127"/>
      <c r="AI775" s="126"/>
      <c r="AJ775" s="127"/>
      <c r="AK775" s="127"/>
      <c r="AL775" s="129"/>
      <c r="AM775" s="129"/>
      <c r="AN775" s="44"/>
      <c r="AO775" s="44"/>
    </row>
    <row r="776" spans="2:41" ht="15.5">
      <c r="B776" s="125"/>
      <c r="C776" s="126"/>
      <c r="D776" s="126"/>
      <c r="E776" s="127"/>
      <c r="F776" s="128"/>
      <c r="G776" s="126"/>
      <c r="H776" s="127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5"/>
      <c r="X776" s="126"/>
      <c r="Y776" s="126"/>
      <c r="Z776" s="126"/>
      <c r="AA776" s="126"/>
      <c r="AB776" s="126"/>
      <c r="AC776" s="126"/>
      <c r="AD776" s="126"/>
      <c r="AE776" s="127"/>
      <c r="AF776" s="126"/>
      <c r="AG776" s="126"/>
      <c r="AH776" s="127"/>
      <c r="AI776" s="126"/>
      <c r="AJ776" s="127"/>
      <c r="AK776" s="127"/>
      <c r="AL776" s="129"/>
      <c r="AM776" s="129"/>
      <c r="AN776" s="44"/>
      <c r="AO776" s="44"/>
    </row>
    <row r="777" spans="2:41" ht="15.5">
      <c r="B777" s="125"/>
      <c r="C777" s="126"/>
      <c r="D777" s="126"/>
      <c r="E777" s="127"/>
      <c r="F777" s="128"/>
      <c r="G777" s="126"/>
      <c r="H777" s="127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5"/>
      <c r="X777" s="126"/>
      <c r="Y777" s="126"/>
      <c r="Z777" s="126"/>
      <c r="AA777" s="126"/>
      <c r="AB777" s="126"/>
      <c r="AC777" s="126"/>
      <c r="AD777" s="126"/>
      <c r="AE777" s="127"/>
      <c r="AF777" s="126"/>
      <c r="AG777" s="126"/>
      <c r="AH777" s="127"/>
      <c r="AI777" s="126"/>
      <c r="AJ777" s="127"/>
      <c r="AK777" s="127"/>
      <c r="AL777" s="129"/>
      <c r="AM777" s="129"/>
      <c r="AN777" s="44"/>
      <c r="AO777" s="44"/>
    </row>
    <row r="778" spans="2:41" ht="15.5">
      <c r="B778" s="125"/>
      <c r="C778" s="126"/>
      <c r="D778" s="126"/>
      <c r="E778" s="127"/>
      <c r="F778" s="128"/>
      <c r="G778" s="126"/>
      <c r="H778" s="127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5"/>
      <c r="X778" s="126"/>
      <c r="Y778" s="126"/>
      <c r="Z778" s="126"/>
      <c r="AA778" s="126"/>
      <c r="AB778" s="126"/>
      <c r="AC778" s="126"/>
      <c r="AD778" s="126"/>
      <c r="AE778" s="127"/>
      <c r="AF778" s="126"/>
      <c r="AG778" s="126"/>
      <c r="AH778" s="127"/>
      <c r="AI778" s="126"/>
      <c r="AJ778" s="127"/>
      <c r="AK778" s="127"/>
      <c r="AL778" s="129"/>
      <c r="AM778" s="129"/>
      <c r="AN778" s="44"/>
      <c r="AO778" s="44"/>
    </row>
    <row r="779" spans="2:41" ht="15.5">
      <c r="B779" s="125"/>
      <c r="C779" s="126"/>
      <c r="D779" s="126"/>
      <c r="E779" s="127"/>
      <c r="F779" s="128"/>
      <c r="G779" s="126"/>
      <c r="H779" s="127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5"/>
      <c r="X779" s="126"/>
      <c r="Y779" s="126"/>
      <c r="Z779" s="126"/>
      <c r="AA779" s="126"/>
      <c r="AB779" s="126"/>
      <c r="AC779" s="126"/>
      <c r="AD779" s="126"/>
      <c r="AE779" s="127"/>
      <c r="AF779" s="126"/>
      <c r="AG779" s="126"/>
      <c r="AH779" s="127"/>
      <c r="AI779" s="126"/>
      <c r="AJ779" s="127"/>
      <c r="AK779" s="127"/>
      <c r="AL779" s="129"/>
      <c r="AM779" s="129"/>
      <c r="AN779" s="44"/>
      <c r="AO779" s="44"/>
    </row>
    <row r="780" spans="2:41" ht="15.5">
      <c r="B780" s="125"/>
      <c r="C780" s="126"/>
      <c r="D780" s="126"/>
      <c r="E780" s="127"/>
      <c r="F780" s="128"/>
      <c r="G780" s="126"/>
      <c r="H780" s="127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5"/>
      <c r="X780" s="126"/>
      <c r="Y780" s="126"/>
      <c r="Z780" s="126"/>
      <c r="AA780" s="126"/>
      <c r="AB780" s="126"/>
      <c r="AC780" s="126"/>
      <c r="AD780" s="126"/>
      <c r="AE780" s="127"/>
      <c r="AF780" s="126"/>
      <c r="AG780" s="126"/>
      <c r="AH780" s="127"/>
      <c r="AI780" s="126"/>
      <c r="AJ780" s="127"/>
      <c r="AK780" s="127"/>
      <c r="AL780" s="129"/>
      <c r="AM780" s="129"/>
      <c r="AN780" s="44"/>
      <c r="AO780" s="44"/>
    </row>
    <row r="781" spans="2:41" ht="15.5">
      <c r="B781" s="125"/>
      <c r="C781" s="126"/>
      <c r="D781" s="126"/>
      <c r="E781" s="127"/>
      <c r="F781" s="128"/>
      <c r="G781" s="126"/>
      <c r="H781" s="127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5"/>
      <c r="X781" s="126"/>
      <c r="Y781" s="126"/>
      <c r="Z781" s="126"/>
      <c r="AA781" s="126"/>
      <c r="AB781" s="126"/>
      <c r="AC781" s="126"/>
      <c r="AD781" s="126"/>
      <c r="AE781" s="127"/>
      <c r="AF781" s="126"/>
      <c r="AG781" s="126"/>
      <c r="AH781" s="127"/>
      <c r="AI781" s="126"/>
      <c r="AJ781" s="127"/>
      <c r="AK781" s="127"/>
      <c r="AL781" s="129"/>
      <c r="AM781" s="129"/>
      <c r="AN781" s="44"/>
      <c r="AO781" s="44"/>
    </row>
    <row r="782" spans="2:41" ht="15.5">
      <c r="B782" s="125"/>
      <c r="C782" s="126"/>
      <c r="D782" s="126"/>
      <c r="E782" s="127"/>
      <c r="F782" s="128"/>
      <c r="G782" s="126"/>
      <c r="H782" s="127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5"/>
      <c r="X782" s="126"/>
      <c r="Y782" s="126"/>
      <c r="Z782" s="126"/>
      <c r="AA782" s="126"/>
      <c r="AB782" s="126"/>
      <c r="AC782" s="126"/>
      <c r="AD782" s="126"/>
      <c r="AE782" s="127"/>
      <c r="AF782" s="126"/>
      <c r="AG782" s="126"/>
      <c r="AH782" s="127"/>
      <c r="AI782" s="126"/>
      <c r="AJ782" s="127"/>
      <c r="AK782" s="127"/>
      <c r="AL782" s="129"/>
      <c r="AM782" s="129"/>
      <c r="AN782" s="44"/>
      <c r="AO782" s="44"/>
    </row>
    <row r="783" spans="2:41" ht="15.5">
      <c r="B783" s="125"/>
      <c r="C783" s="126"/>
      <c r="D783" s="126"/>
      <c r="E783" s="127"/>
      <c r="F783" s="128"/>
      <c r="G783" s="126"/>
      <c r="H783" s="127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5"/>
      <c r="X783" s="126"/>
      <c r="Y783" s="126"/>
      <c r="Z783" s="126"/>
      <c r="AA783" s="126"/>
      <c r="AB783" s="126"/>
      <c r="AC783" s="126"/>
      <c r="AD783" s="126"/>
      <c r="AE783" s="127"/>
      <c r="AF783" s="126"/>
      <c r="AG783" s="126"/>
      <c r="AH783" s="127"/>
      <c r="AI783" s="126"/>
      <c r="AJ783" s="127"/>
      <c r="AK783" s="127"/>
      <c r="AL783" s="129"/>
      <c r="AM783" s="129"/>
      <c r="AN783" s="44"/>
      <c r="AO783" s="44"/>
    </row>
    <row r="784" spans="2:41" ht="15.5">
      <c r="B784" s="125"/>
      <c r="C784" s="126"/>
      <c r="D784" s="126"/>
      <c r="E784" s="127"/>
      <c r="F784" s="128"/>
      <c r="G784" s="126"/>
      <c r="H784" s="127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5"/>
      <c r="X784" s="126"/>
      <c r="Y784" s="126"/>
      <c r="Z784" s="126"/>
      <c r="AA784" s="126"/>
      <c r="AB784" s="126"/>
      <c r="AC784" s="126"/>
      <c r="AD784" s="126"/>
      <c r="AE784" s="127"/>
      <c r="AF784" s="126"/>
      <c r="AG784" s="126"/>
      <c r="AH784" s="127"/>
      <c r="AI784" s="126"/>
      <c r="AJ784" s="127"/>
      <c r="AK784" s="127"/>
      <c r="AL784" s="129"/>
      <c r="AM784" s="129"/>
      <c r="AN784" s="44"/>
      <c r="AO784" s="44"/>
    </row>
    <row r="785" spans="2:41" ht="15.5">
      <c r="B785" s="125"/>
      <c r="C785" s="126"/>
      <c r="D785" s="126"/>
      <c r="E785" s="127"/>
      <c r="F785" s="128"/>
      <c r="G785" s="126"/>
      <c r="H785" s="127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5"/>
      <c r="X785" s="126"/>
      <c r="Y785" s="126"/>
      <c r="Z785" s="126"/>
      <c r="AA785" s="126"/>
      <c r="AB785" s="126"/>
      <c r="AC785" s="126"/>
      <c r="AD785" s="126"/>
      <c r="AE785" s="127"/>
      <c r="AF785" s="126"/>
      <c r="AG785" s="126"/>
      <c r="AH785" s="127"/>
      <c r="AI785" s="126"/>
      <c r="AJ785" s="127"/>
      <c r="AK785" s="127"/>
      <c r="AL785" s="129"/>
      <c r="AM785" s="129"/>
      <c r="AN785" s="44"/>
      <c r="AO785" s="44"/>
    </row>
    <row r="786" spans="2:41" ht="15.5">
      <c r="B786" s="125"/>
      <c r="C786" s="126"/>
      <c r="D786" s="126"/>
      <c r="E786" s="127"/>
      <c r="F786" s="128"/>
      <c r="G786" s="126"/>
      <c r="H786" s="127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5"/>
      <c r="X786" s="126"/>
      <c r="Y786" s="126"/>
      <c r="Z786" s="126"/>
      <c r="AA786" s="126"/>
      <c r="AB786" s="126"/>
      <c r="AC786" s="126"/>
      <c r="AD786" s="126"/>
      <c r="AE786" s="127"/>
      <c r="AF786" s="126"/>
      <c r="AG786" s="126"/>
      <c r="AH786" s="127"/>
      <c r="AI786" s="126"/>
      <c r="AJ786" s="127"/>
      <c r="AK786" s="127"/>
      <c r="AL786" s="129"/>
      <c r="AM786" s="129"/>
      <c r="AN786" s="44"/>
      <c r="AO786" s="44"/>
    </row>
    <row r="787" spans="2:41" ht="15.5">
      <c r="B787" s="125"/>
      <c r="C787" s="126"/>
      <c r="D787" s="126"/>
      <c r="E787" s="127"/>
      <c r="F787" s="128"/>
      <c r="G787" s="126"/>
      <c r="H787" s="127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5"/>
      <c r="X787" s="126"/>
      <c r="Y787" s="126"/>
      <c r="Z787" s="126"/>
      <c r="AA787" s="126"/>
      <c r="AB787" s="126"/>
      <c r="AC787" s="126"/>
      <c r="AD787" s="126"/>
      <c r="AE787" s="127"/>
      <c r="AF787" s="126"/>
      <c r="AG787" s="126"/>
      <c r="AH787" s="127"/>
      <c r="AI787" s="126"/>
      <c r="AJ787" s="127"/>
      <c r="AK787" s="127"/>
      <c r="AL787" s="129"/>
      <c r="AM787" s="129"/>
      <c r="AN787" s="44"/>
      <c r="AO787" s="44"/>
    </row>
    <row r="788" spans="2:41" ht="15.5">
      <c r="B788" s="125"/>
      <c r="C788" s="126"/>
      <c r="D788" s="126"/>
      <c r="E788" s="127"/>
      <c r="F788" s="128"/>
      <c r="G788" s="126"/>
      <c r="H788" s="127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5"/>
      <c r="X788" s="126"/>
      <c r="Y788" s="126"/>
      <c r="Z788" s="126"/>
      <c r="AA788" s="126"/>
      <c r="AB788" s="126"/>
      <c r="AC788" s="126"/>
      <c r="AD788" s="126"/>
      <c r="AE788" s="127"/>
      <c r="AF788" s="126"/>
      <c r="AG788" s="126"/>
      <c r="AH788" s="127"/>
      <c r="AI788" s="126"/>
      <c r="AJ788" s="127"/>
      <c r="AK788" s="127"/>
      <c r="AL788" s="129"/>
      <c r="AM788" s="129"/>
      <c r="AN788" s="44"/>
      <c r="AO788" s="44"/>
    </row>
    <row r="789" spans="2:41" ht="15.5">
      <c r="B789" s="125"/>
      <c r="C789" s="126"/>
      <c r="D789" s="126"/>
      <c r="E789" s="127"/>
      <c r="F789" s="128"/>
      <c r="G789" s="126"/>
      <c r="H789" s="127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5"/>
      <c r="X789" s="126"/>
      <c r="Y789" s="126"/>
      <c r="Z789" s="126"/>
      <c r="AA789" s="126"/>
      <c r="AB789" s="126"/>
      <c r="AC789" s="126"/>
      <c r="AD789" s="126"/>
      <c r="AE789" s="127"/>
      <c r="AF789" s="126"/>
      <c r="AG789" s="126"/>
      <c r="AH789" s="127"/>
      <c r="AI789" s="126"/>
      <c r="AJ789" s="127"/>
      <c r="AK789" s="127"/>
      <c r="AL789" s="129"/>
      <c r="AM789" s="129"/>
      <c r="AN789" s="44"/>
      <c r="AO789" s="44"/>
    </row>
    <row r="790" spans="2:41" ht="15.5">
      <c r="B790" s="125"/>
      <c r="C790" s="126"/>
      <c r="D790" s="126"/>
      <c r="E790" s="127"/>
      <c r="F790" s="128"/>
      <c r="G790" s="126"/>
      <c r="H790" s="127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5"/>
      <c r="X790" s="126"/>
      <c r="Y790" s="126"/>
      <c r="Z790" s="126"/>
      <c r="AA790" s="126"/>
      <c r="AB790" s="126"/>
      <c r="AC790" s="126"/>
      <c r="AD790" s="126"/>
      <c r="AE790" s="127"/>
      <c r="AF790" s="126"/>
      <c r="AG790" s="126"/>
      <c r="AH790" s="127"/>
      <c r="AI790" s="126"/>
      <c r="AJ790" s="127"/>
      <c r="AK790" s="127"/>
      <c r="AL790" s="129"/>
      <c r="AM790" s="129"/>
      <c r="AN790" s="44"/>
      <c r="AO790" s="44"/>
    </row>
    <row r="791" spans="2:41" ht="15.5">
      <c r="B791" s="125"/>
      <c r="C791" s="126"/>
      <c r="D791" s="126"/>
      <c r="E791" s="127"/>
      <c r="F791" s="128"/>
      <c r="G791" s="126"/>
      <c r="H791" s="127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5"/>
      <c r="X791" s="126"/>
      <c r="Y791" s="126"/>
      <c r="Z791" s="126"/>
      <c r="AA791" s="126"/>
      <c r="AB791" s="126"/>
      <c r="AC791" s="126"/>
      <c r="AD791" s="126"/>
      <c r="AE791" s="127"/>
      <c r="AF791" s="126"/>
      <c r="AG791" s="126"/>
      <c r="AH791" s="127"/>
      <c r="AI791" s="126"/>
      <c r="AJ791" s="127"/>
      <c r="AK791" s="127"/>
      <c r="AL791" s="129"/>
      <c r="AM791" s="129"/>
      <c r="AN791" s="44"/>
      <c r="AO791" s="44"/>
    </row>
    <row r="792" spans="2:41" ht="15.5">
      <c r="B792" s="125"/>
      <c r="C792" s="126"/>
      <c r="D792" s="126"/>
      <c r="E792" s="127"/>
      <c r="F792" s="128"/>
      <c r="G792" s="126"/>
      <c r="H792" s="127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5"/>
      <c r="X792" s="126"/>
      <c r="Y792" s="126"/>
      <c r="Z792" s="126"/>
      <c r="AA792" s="126"/>
      <c r="AB792" s="126"/>
      <c r="AC792" s="126"/>
      <c r="AD792" s="126"/>
      <c r="AE792" s="127"/>
      <c r="AF792" s="126"/>
      <c r="AG792" s="126"/>
      <c r="AH792" s="127"/>
      <c r="AI792" s="126"/>
      <c r="AJ792" s="127"/>
      <c r="AK792" s="127"/>
      <c r="AL792" s="129"/>
      <c r="AM792" s="129"/>
      <c r="AN792" s="44"/>
      <c r="AO792" s="44"/>
    </row>
    <row r="793" spans="2:41" ht="15.5">
      <c r="B793" s="125"/>
      <c r="C793" s="126"/>
      <c r="D793" s="126"/>
      <c r="E793" s="127"/>
      <c r="F793" s="128"/>
      <c r="G793" s="126"/>
      <c r="H793" s="127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5"/>
      <c r="X793" s="126"/>
      <c r="Y793" s="126"/>
      <c r="Z793" s="126"/>
      <c r="AA793" s="126"/>
      <c r="AB793" s="126"/>
      <c r="AC793" s="126"/>
      <c r="AD793" s="126"/>
      <c r="AE793" s="127"/>
      <c r="AF793" s="126"/>
      <c r="AG793" s="126"/>
      <c r="AH793" s="127"/>
      <c r="AI793" s="126"/>
      <c r="AJ793" s="127"/>
      <c r="AK793" s="127"/>
      <c r="AL793" s="129"/>
      <c r="AM793" s="129"/>
      <c r="AN793" s="44"/>
      <c r="AO793" s="44"/>
    </row>
    <row r="794" spans="2:41" ht="15.5">
      <c r="B794" s="125"/>
      <c r="C794" s="126"/>
      <c r="D794" s="126"/>
      <c r="E794" s="127"/>
      <c r="F794" s="128"/>
      <c r="G794" s="126"/>
      <c r="H794" s="127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5"/>
      <c r="X794" s="126"/>
      <c r="Y794" s="126"/>
      <c r="Z794" s="126"/>
      <c r="AA794" s="126"/>
      <c r="AB794" s="126"/>
      <c r="AC794" s="126"/>
      <c r="AD794" s="126"/>
      <c r="AE794" s="127"/>
      <c r="AF794" s="126"/>
      <c r="AG794" s="126"/>
      <c r="AH794" s="127"/>
      <c r="AI794" s="126"/>
      <c r="AJ794" s="127"/>
      <c r="AK794" s="127"/>
      <c r="AL794" s="129"/>
      <c r="AM794" s="129"/>
      <c r="AN794" s="44"/>
      <c r="AO794" s="44"/>
    </row>
    <row r="795" spans="2:41" ht="15.5">
      <c r="B795" s="125"/>
      <c r="C795" s="126"/>
      <c r="D795" s="126"/>
      <c r="E795" s="127"/>
      <c r="F795" s="128"/>
      <c r="G795" s="126"/>
      <c r="H795" s="127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5"/>
      <c r="X795" s="126"/>
      <c r="Y795" s="126"/>
      <c r="Z795" s="126"/>
      <c r="AA795" s="126"/>
      <c r="AB795" s="126"/>
      <c r="AC795" s="126"/>
      <c r="AD795" s="126"/>
      <c r="AE795" s="127"/>
      <c r="AF795" s="126"/>
      <c r="AG795" s="126"/>
      <c r="AH795" s="127"/>
      <c r="AI795" s="126"/>
      <c r="AJ795" s="127"/>
      <c r="AK795" s="127"/>
      <c r="AL795" s="129"/>
      <c r="AM795" s="129"/>
      <c r="AN795" s="44"/>
      <c r="AO795" s="44"/>
    </row>
    <row r="796" spans="2:41" ht="15.5">
      <c r="B796" s="125"/>
      <c r="C796" s="126"/>
      <c r="D796" s="126"/>
      <c r="E796" s="127"/>
      <c r="F796" s="128"/>
      <c r="G796" s="126"/>
      <c r="H796" s="127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5"/>
      <c r="X796" s="126"/>
      <c r="Y796" s="126"/>
      <c r="Z796" s="126"/>
      <c r="AA796" s="126"/>
      <c r="AB796" s="126"/>
      <c r="AC796" s="126"/>
      <c r="AD796" s="126"/>
      <c r="AE796" s="127"/>
      <c r="AF796" s="126"/>
      <c r="AG796" s="126"/>
      <c r="AH796" s="127"/>
      <c r="AI796" s="126"/>
      <c r="AJ796" s="127"/>
      <c r="AK796" s="127"/>
      <c r="AL796" s="129"/>
      <c r="AM796" s="129"/>
      <c r="AN796" s="44"/>
      <c r="AO796" s="44"/>
    </row>
    <row r="797" spans="2:41" ht="15.5">
      <c r="B797" s="125"/>
      <c r="C797" s="126"/>
      <c r="D797" s="126"/>
      <c r="E797" s="127"/>
      <c r="F797" s="128"/>
      <c r="G797" s="126"/>
      <c r="H797" s="127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5"/>
      <c r="X797" s="126"/>
      <c r="Y797" s="126"/>
      <c r="Z797" s="126"/>
      <c r="AA797" s="126"/>
      <c r="AB797" s="126"/>
      <c r="AC797" s="126"/>
      <c r="AD797" s="126"/>
      <c r="AE797" s="127"/>
      <c r="AF797" s="126"/>
      <c r="AG797" s="126"/>
      <c r="AH797" s="127"/>
      <c r="AI797" s="126"/>
      <c r="AJ797" s="127"/>
      <c r="AK797" s="127"/>
      <c r="AL797" s="129"/>
      <c r="AM797" s="129"/>
      <c r="AN797" s="44"/>
      <c r="AO797" s="44"/>
    </row>
    <row r="798" spans="2:41" ht="15.5">
      <c r="B798" s="125"/>
      <c r="C798" s="126"/>
      <c r="D798" s="126"/>
      <c r="E798" s="127"/>
      <c r="F798" s="128"/>
      <c r="G798" s="126"/>
      <c r="H798" s="127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5"/>
      <c r="X798" s="126"/>
      <c r="Y798" s="126"/>
      <c r="Z798" s="126"/>
      <c r="AA798" s="126"/>
      <c r="AB798" s="126"/>
      <c r="AC798" s="126"/>
      <c r="AD798" s="126"/>
      <c r="AE798" s="127"/>
      <c r="AF798" s="126"/>
      <c r="AG798" s="126"/>
      <c r="AH798" s="127"/>
      <c r="AI798" s="126"/>
      <c r="AJ798" s="127"/>
      <c r="AK798" s="127"/>
      <c r="AL798" s="129"/>
      <c r="AM798" s="129"/>
      <c r="AN798" s="44"/>
      <c r="AO798" s="44"/>
    </row>
    <row r="799" spans="2:41" ht="15.5">
      <c r="B799" s="125"/>
      <c r="C799" s="126"/>
      <c r="D799" s="126"/>
      <c r="E799" s="127"/>
      <c r="F799" s="128"/>
      <c r="G799" s="126"/>
      <c r="H799" s="127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5"/>
      <c r="X799" s="126"/>
      <c r="Y799" s="126"/>
      <c r="Z799" s="126"/>
      <c r="AA799" s="126"/>
      <c r="AB799" s="126"/>
      <c r="AC799" s="126"/>
      <c r="AD799" s="126"/>
      <c r="AE799" s="127"/>
      <c r="AF799" s="126"/>
      <c r="AG799" s="126"/>
      <c r="AH799" s="127"/>
      <c r="AI799" s="126"/>
      <c r="AJ799" s="127"/>
      <c r="AK799" s="127"/>
      <c r="AL799" s="129"/>
      <c r="AM799" s="129"/>
      <c r="AN799" s="44"/>
      <c r="AO799" s="44"/>
    </row>
    <row r="800" spans="2:41" ht="15.5">
      <c r="B800" s="125"/>
      <c r="C800" s="126"/>
      <c r="D800" s="126"/>
      <c r="E800" s="127"/>
      <c r="F800" s="128"/>
      <c r="G800" s="126"/>
      <c r="H800" s="127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5"/>
      <c r="X800" s="126"/>
      <c r="Y800" s="126"/>
      <c r="Z800" s="126"/>
      <c r="AA800" s="126"/>
      <c r="AB800" s="126"/>
      <c r="AC800" s="126"/>
      <c r="AD800" s="126"/>
      <c r="AE800" s="127"/>
      <c r="AF800" s="126"/>
      <c r="AG800" s="126"/>
      <c r="AH800" s="127"/>
      <c r="AI800" s="126"/>
      <c r="AJ800" s="127"/>
      <c r="AK800" s="127"/>
      <c r="AL800" s="129"/>
      <c r="AM800" s="129"/>
      <c r="AN800" s="44"/>
      <c r="AO800" s="44"/>
    </row>
    <row r="801" spans="2:41" ht="15.5">
      <c r="B801" s="125"/>
      <c r="C801" s="126"/>
      <c r="D801" s="126"/>
      <c r="E801" s="127"/>
      <c r="F801" s="128"/>
      <c r="G801" s="126"/>
      <c r="H801" s="127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5"/>
      <c r="X801" s="126"/>
      <c r="Y801" s="126"/>
      <c r="Z801" s="126"/>
      <c r="AA801" s="126"/>
      <c r="AB801" s="126"/>
      <c r="AC801" s="126"/>
      <c r="AD801" s="126"/>
      <c r="AE801" s="127"/>
      <c r="AF801" s="126"/>
      <c r="AG801" s="126"/>
      <c r="AH801" s="127"/>
      <c r="AI801" s="126"/>
      <c r="AJ801" s="127"/>
      <c r="AK801" s="127"/>
      <c r="AL801" s="129"/>
      <c r="AM801" s="129"/>
      <c r="AN801" s="44"/>
      <c r="AO801" s="44"/>
    </row>
    <row r="802" spans="2:41" ht="15.5">
      <c r="B802" s="125"/>
      <c r="C802" s="126"/>
      <c r="D802" s="126"/>
      <c r="E802" s="127"/>
      <c r="F802" s="128"/>
      <c r="G802" s="126"/>
      <c r="H802" s="127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5"/>
      <c r="X802" s="126"/>
      <c r="Y802" s="126"/>
      <c r="Z802" s="126"/>
      <c r="AA802" s="126"/>
      <c r="AB802" s="126"/>
      <c r="AC802" s="126"/>
      <c r="AD802" s="126"/>
      <c r="AE802" s="127"/>
      <c r="AF802" s="126"/>
      <c r="AG802" s="126"/>
      <c r="AH802" s="127"/>
      <c r="AI802" s="126"/>
      <c r="AJ802" s="127"/>
      <c r="AK802" s="127"/>
      <c r="AL802" s="129"/>
      <c r="AM802" s="129"/>
      <c r="AN802" s="44"/>
      <c r="AO802" s="44"/>
    </row>
    <row r="803" spans="2:41" ht="15.5">
      <c r="B803" s="125"/>
      <c r="C803" s="126"/>
      <c r="D803" s="126"/>
      <c r="E803" s="127"/>
      <c r="F803" s="128"/>
      <c r="G803" s="126"/>
      <c r="H803" s="127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5"/>
      <c r="X803" s="126"/>
      <c r="Y803" s="126"/>
      <c r="Z803" s="126"/>
      <c r="AA803" s="126"/>
      <c r="AB803" s="126"/>
      <c r="AC803" s="126"/>
      <c r="AD803" s="126"/>
      <c r="AE803" s="127"/>
      <c r="AF803" s="126"/>
      <c r="AG803" s="126"/>
      <c r="AH803" s="127"/>
      <c r="AI803" s="126"/>
      <c r="AJ803" s="127"/>
      <c r="AK803" s="127"/>
      <c r="AL803" s="129"/>
      <c r="AM803" s="129"/>
      <c r="AN803" s="44"/>
      <c r="AO803" s="44"/>
    </row>
    <row r="804" spans="2:41" ht="15.5">
      <c r="B804" s="125"/>
      <c r="C804" s="126"/>
      <c r="D804" s="126"/>
      <c r="E804" s="127"/>
      <c r="F804" s="128"/>
      <c r="G804" s="126"/>
      <c r="H804" s="127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5"/>
      <c r="X804" s="126"/>
      <c r="Y804" s="126"/>
      <c r="Z804" s="126"/>
      <c r="AA804" s="126"/>
      <c r="AB804" s="126"/>
      <c r="AC804" s="126"/>
      <c r="AD804" s="126"/>
      <c r="AE804" s="127"/>
      <c r="AF804" s="126"/>
      <c r="AG804" s="126"/>
      <c r="AH804" s="127"/>
      <c r="AI804" s="126"/>
      <c r="AJ804" s="127"/>
      <c r="AK804" s="127"/>
      <c r="AL804" s="129"/>
      <c r="AM804" s="129"/>
      <c r="AN804" s="44"/>
      <c r="AO804" s="44"/>
    </row>
    <row r="805" spans="2:41" ht="15.5">
      <c r="B805" s="125"/>
      <c r="C805" s="126"/>
      <c r="D805" s="126"/>
      <c r="E805" s="127"/>
      <c r="F805" s="128"/>
      <c r="G805" s="126"/>
      <c r="H805" s="127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5"/>
      <c r="X805" s="126"/>
      <c r="Y805" s="126"/>
      <c r="Z805" s="126"/>
      <c r="AA805" s="126"/>
      <c r="AB805" s="126"/>
      <c r="AC805" s="126"/>
      <c r="AD805" s="126"/>
      <c r="AE805" s="127"/>
      <c r="AF805" s="126"/>
      <c r="AG805" s="126"/>
      <c r="AH805" s="127"/>
      <c r="AI805" s="126"/>
      <c r="AJ805" s="127"/>
      <c r="AK805" s="127"/>
      <c r="AL805" s="129"/>
      <c r="AM805" s="129"/>
      <c r="AN805" s="44"/>
      <c r="AO805" s="44"/>
    </row>
    <row r="806" spans="2:41" ht="15.5">
      <c r="B806" s="125"/>
      <c r="C806" s="126"/>
      <c r="D806" s="126"/>
      <c r="E806" s="127"/>
      <c r="F806" s="128"/>
      <c r="G806" s="126"/>
      <c r="H806" s="127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5"/>
      <c r="X806" s="126"/>
      <c r="Y806" s="126"/>
      <c r="Z806" s="126"/>
      <c r="AA806" s="126"/>
      <c r="AB806" s="126"/>
      <c r="AC806" s="126"/>
      <c r="AD806" s="126"/>
      <c r="AE806" s="127"/>
      <c r="AF806" s="126"/>
      <c r="AG806" s="126"/>
      <c r="AH806" s="127"/>
      <c r="AI806" s="126"/>
      <c r="AJ806" s="127"/>
      <c r="AK806" s="127"/>
      <c r="AL806" s="129"/>
      <c r="AM806" s="129"/>
      <c r="AN806" s="44"/>
      <c r="AO806" s="44"/>
    </row>
    <row r="807" spans="2:41" ht="15.5">
      <c r="B807" s="125"/>
      <c r="C807" s="126"/>
      <c r="D807" s="126"/>
      <c r="E807" s="127"/>
      <c r="F807" s="128"/>
      <c r="G807" s="126"/>
      <c r="H807" s="127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5"/>
      <c r="X807" s="126"/>
      <c r="Y807" s="126"/>
      <c r="Z807" s="126"/>
      <c r="AA807" s="126"/>
      <c r="AB807" s="126"/>
      <c r="AC807" s="126"/>
      <c r="AD807" s="126"/>
      <c r="AE807" s="127"/>
      <c r="AF807" s="126"/>
      <c r="AG807" s="126"/>
      <c r="AH807" s="127"/>
      <c r="AI807" s="126"/>
      <c r="AJ807" s="127"/>
      <c r="AK807" s="127"/>
      <c r="AL807" s="129"/>
      <c r="AM807" s="129"/>
      <c r="AN807" s="44"/>
      <c r="AO807" s="44"/>
    </row>
    <row r="808" spans="2:41" ht="15.5">
      <c r="B808" s="125"/>
      <c r="C808" s="126"/>
      <c r="D808" s="126"/>
      <c r="E808" s="127"/>
      <c r="F808" s="128"/>
      <c r="G808" s="126"/>
      <c r="H808" s="127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5"/>
      <c r="X808" s="126"/>
      <c r="Y808" s="126"/>
      <c r="Z808" s="126"/>
      <c r="AA808" s="126"/>
      <c r="AB808" s="126"/>
      <c r="AC808" s="126"/>
      <c r="AD808" s="126"/>
      <c r="AE808" s="127"/>
      <c r="AF808" s="126"/>
      <c r="AG808" s="126"/>
      <c r="AH808" s="127"/>
      <c r="AI808" s="126"/>
      <c r="AJ808" s="127"/>
      <c r="AK808" s="127"/>
      <c r="AL808" s="129"/>
      <c r="AM808" s="129"/>
      <c r="AN808" s="44"/>
      <c r="AO808" s="44"/>
    </row>
    <row r="809" spans="2:41" ht="15.5">
      <c r="B809" s="125"/>
      <c r="C809" s="126"/>
      <c r="D809" s="126"/>
      <c r="E809" s="127"/>
      <c r="F809" s="128"/>
      <c r="G809" s="126"/>
      <c r="H809" s="127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5"/>
      <c r="X809" s="126"/>
      <c r="Y809" s="126"/>
      <c r="Z809" s="126"/>
      <c r="AA809" s="126"/>
      <c r="AB809" s="126"/>
      <c r="AC809" s="126"/>
      <c r="AD809" s="126"/>
      <c r="AE809" s="127"/>
      <c r="AF809" s="126"/>
      <c r="AG809" s="126"/>
      <c r="AH809" s="127"/>
      <c r="AI809" s="126"/>
      <c r="AJ809" s="127"/>
      <c r="AK809" s="127"/>
      <c r="AL809" s="129"/>
      <c r="AM809" s="129"/>
      <c r="AN809" s="44"/>
      <c r="AO809" s="44"/>
    </row>
    <row r="810" spans="2:41" ht="15.5">
      <c r="B810" s="125"/>
      <c r="C810" s="126"/>
      <c r="D810" s="126"/>
      <c r="E810" s="127"/>
      <c r="F810" s="128"/>
      <c r="G810" s="126"/>
      <c r="H810" s="127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5"/>
      <c r="X810" s="126"/>
      <c r="Y810" s="126"/>
      <c r="Z810" s="126"/>
      <c r="AA810" s="126"/>
      <c r="AB810" s="126"/>
      <c r="AC810" s="126"/>
      <c r="AD810" s="126"/>
      <c r="AE810" s="127"/>
      <c r="AF810" s="126"/>
      <c r="AG810" s="126"/>
      <c r="AH810" s="127"/>
      <c r="AI810" s="126"/>
      <c r="AJ810" s="127"/>
      <c r="AK810" s="127"/>
      <c r="AL810" s="129"/>
      <c r="AM810" s="129"/>
      <c r="AN810" s="44"/>
      <c r="AO810" s="44"/>
    </row>
    <row r="811" spans="2:41" ht="15.5">
      <c r="B811" s="125"/>
      <c r="C811" s="126"/>
      <c r="D811" s="126"/>
      <c r="E811" s="127"/>
      <c r="F811" s="128"/>
      <c r="G811" s="126"/>
      <c r="H811" s="127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5"/>
      <c r="X811" s="126"/>
      <c r="Y811" s="126"/>
      <c r="Z811" s="126"/>
      <c r="AA811" s="126"/>
      <c r="AB811" s="126"/>
      <c r="AC811" s="126"/>
      <c r="AD811" s="126"/>
      <c r="AE811" s="127"/>
      <c r="AF811" s="126"/>
      <c r="AG811" s="126"/>
      <c r="AH811" s="127"/>
      <c r="AI811" s="126"/>
      <c r="AJ811" s="127"/>
      <c r="AK811" s="127"/>
      <c r="AL811" s="129"/>
      <c r="AM811" s="129"/>
      <c r="AN811" s="44"/>
      <c r="AO811" s="44"/>
    </row>
    <row r="812" spans="2:41" ht="15.5">
      <c r="B812" s="125"/>
      <c r="C812" s="126"/>
      <c r="D812" s="126"/>
      <c r="E812" s="127"/>
      <c r="F812" s="128"/>
      <c r="G812" s="126"/>
      <c r="H812" s="127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5"/>
      <c r="X812" s="126"/>
      <c r="Y812" s="126"/>
      <c r="Z812" s="126"/>
      <c r="AA812" s="126"/>
      <c r="AB812" s="126"/>
      <c r="AC812" s="126"/>
      <c r="AD812" s="126"/>
      <c r="AE812" s="127"/>
      <c r="AF812" s="126"/>
      <c r="AG812" s="126"/>
      <c r="AH812" s="127"/>
      <c r="AI812" s="126"/>
      <c r="AJ812" s="127"/>
      <c r="AK812" s="127"/>
      <c r="AL812" s="129"/>
      <c r="AM812" s="129"/>
      <c r="AN812" s="44"/>
      <c r="AO812" s="44"/>
    </row>
    <row r="813" spans="2:41" ht="15.5">
      <c r="B813" s="125"/>
      <c r="C813" s="126"/>
      <c r="D813" s="126"/>
      <c r="E813" s="127"/>
      <c r="F813" s="128"/>
      <c r="G813" s="126"/>
      <c r="H813" s="127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5"/>
      <c r="X813" s="126"/>
      <c r="Y813" s="126"/>
      <c r="Z813" s="126"/>
      <c r="AA813" s="126"/>
      <c r="AB813" s="126"/>
      <c r="AC813" s="126"/>
      <c r="AD813" s="126"/>
      <c r="AE813" s="127"/>
      <c r="AF813" s="126"/>
      <c r="AG813" s="126"/>
      <c r="AH813" s="127"/>
      <c r="AI813" s="126"/>
      <c r="AJ813" s="127"/>
      <c r="AK813" s="127"/>
      <c r="AL813" s="129"/>
      <c r="AM813" s="129"/>
      <c r="AN813" s="44"/>
      <c r="AO813" s="44"/>
    </row>
    <row r="814" spans="2:41" ht="15.5">
      <c r="B814" s="125"/>
      <c r="C814" s="126"/>
      <c r="D814" s="126"/>
      <c r="E814" s="127"/>
      <c r="F814" s="128"/>
      <c r="G814" s="126"/>
      <c r="H814" s="127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5"/>
      <c r="X814" s="126"/>
      <c r="Y814" s="126"/>
      <c r="Z814" s="126"/>
      <c r="AA814" s="126"/>
      <c r="AB814" s="126"/>
      <c r="AC814" s="126"/>
      <c r="AD814" s="126"/>
      <c r="AE814" s="127"/>
      <c r="AF814" s="126"/>
      <c r="AG814" s="126"/>
      <c r="AH814" s="127"/>
      <c r="AI814" s="126"/>
      <c r="AJ814" s="127"/>
      <c r="AK814" s="127"/>
      <c r="AL814" s="129"/>
      <c r="AM814" s="129"/>
      <c r="AN814" s="44"/>
      <c r="AO814" s="44"/>
    </row>
    <row r="815" spans="2:41" ht="15.5">
      <c r="B815" s="125"/>
      <c r="C815" s="126"/>
      <c r="D815" s="126"/>
      <c r="E815" s="127"/>
      <c r="F815" s="128"/>
      <c r="G815" s="126"/>
      <c r="H815" s="127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5"/>
      <c r="X815" s="126"/>
      <c r="Y815" s="126"/>
      <c r="Z815" s="126"/>
      <c r="AA815" s="126"/>
      <c r="AB815" s="126"/>
      <c r="AC815" s="126"/>
      <c r="AD815" s="126"/>
      <c r="AE815" s="127"/>
      <c r="AF815" s="126"/>
      <c r="AG815" s="126"/>
      <c r="AH815" s="127"/>
      <c r="AI815" s="126"/>
      <c r="AJ815" s="127"/>
      <c r="AK815" s="127"/>
      <c r="AL815" s="129"/>
      <c r="AM815" s="129"/>
      <c r="AN815" s="44"/>
      <c r="AO815" s="44"/>
    </row>
    <row r="816" spans="2:41" ht="15.5">
      <c r="B816" s="125"/>
      <c r="C816" s="126"/>
      <c r="D816" s="126"/>
      <c r="E816" s="127"/>
      <c r="F816" s="128"/>
      <c r="G816" s="126"/>
      <c r="H816" s="127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5"/>
      <c r="X816" s="126"/>
      <c r="Y816" s="126"/>
      <c r="Z816" s="126"/>
      <c r="AA816" s="126"/>
      <c r="AB816" s="126"/>
      <c r="AC816" s="126"/>
      <c r="AD816" s="126"/>
      <c r="AE816" s="127"/>
      <c r="AF816" s="126"/>
      <c r="AG816" s="126"/>
      <c r="AH816" s="127"/>
      <c r="AI816" s="126"/>
      <c r="AJ816" s="127"/>
      <c r="AK816" s="127"/>
      <c r="AL816" s="129"/>
      <c r="AM816" s="129"/>
      <c r="AN816" s="44"/>
      <c r="AO816" s="44"/>
    </row>
    <row r="817" spans="2:41" ht="15.5">
      <c r="B817" s="125"/>
      <c r="C817" s="126"/>
      <c r="D817" s="126"/>
      <c r="E817" s="127"/>
      <c r="F817" s="128"/>
      <c r="G817" s="126"/>
      <c r="H817" s="127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5"/>
      <c r="X817" s="126"/>
      <c r="Y817" s="126"/>
      <c r="Z817" s="126"/>
      <c r="AA817" s="126"/>
      <c r="AB817" s="126"/>
      <c r="AC817" s="126"/>
      <c r="AD817" s="126"/>
      <c r="AE817" s="127"/>
      <c r="AF817" s="126"/>
      <c r="AG817" s="126"/>
      <c r="AH817" s="127"/>
      <c r="AI817" s="126"/>
      <c r="AJ817" s="127"/>
      <c r="AK817" s="127"/>
      <c r="AL817" s="129"/>
      <c r="AM817" s="129"/>
      <c r="AN817" s="44"/>
      <c r="AO817" s="44"/>
    </row>
    <row r="818" spans="2:41" ht="15.5">
      <c r="B818" s="125"/>
      <c r="C818" s="126"/>
      <c r="D818" s="126"/>
      <c r="E818" s="127"/>
      <c r="F818" s="128"/>
      <c r="G818" s="126"/>
      <c r="H818" s="127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5"/>
      <c r="X818" s="126"/>
      <c r="Y818" s="126"/>
      <c r="Z818" s="126"/>
      <c r="AA818" s="126"/>
      <c r="AB818" s="126"/>
      <c r="AC818" s="126"/>
      <c r="AD818" s="126"/>
      <c r="AE818" s="127"/>
      <c r="AF818" s="126"/>
      <c r="AG818" s="126"/>
      <c r="AH818" s="127"/>
      <c r="AI818" s="126"/>
      <c r="AJ818" s="127"/>
      <c r="AK818" s="127"/>
      <c r="AL818" s="129"/>
      <c r="AM818" s="129"/>
      <c r="AN818" s="44"/>
      <c r="AO818" s="44"/>
    </row>
    <row r="819" spans="2:41" ht="15.5">
      <c r="B819" s="125"/>
      <c r="C819" s="126"/>
      <c r="D819" s="126"/>
      <c r="E819" s="127"/>
      <c r="F819" s="128"/>
      <c r="G819" s="126"/>
      <c r="H819" s="127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5"/>
      <c r="X819" s="126"/>
      <c r="Y819" s="126"/>
      <c r="Z819" s="126"/>
      <c r="AA819" s="126"/>
      <c r="AB819" s="126"/>
      <c r="AC819" s="126"/>
      <c r="AD819" s="126"/>
      <c r="AE819" s="127"/>
      <c r="AF819" s="126"/>
      <c r="AG819" s="126"/>
      <c r="AH819" s="127"/>
      <c r="AI819" s="126"/>
      <c r="AJ819" s="127"/>
      <c r="AK819" s="127"/>
      <c r="AL819" s="129"/>
      <c r="AM819" s="129"/>
      <c r="AN819" s="44"/>
      <c r="AO819" s="44"/>
    </row>
    <row r="820" spans="2:41" ht="15.5">
      <c r="B820" s="125"/>
      <c r="C820" s="126"/>
      <c r="D820" s="126"/>
      <c r="E820" s="127"/>
      <c r="F820" s="128"/>
      <c r="G820" s="126"/>
      <c r="H820" s="127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5"/>
      <c r="X820" s="126"/>
      <c r="Y820" s="126"/>
      <c r="Z820" s="126"/>
      <c r="AA820" s="126"/>
      <c r="AB820" s="126"/>
      <c r="AC820" s="126"/>
      <c r="AD820" s="126"/>
      <c r="AE820" s="127"/>
      <c r="AF820" s="126"/>
      <c r="AG820" s="126"/>
      <c r="AH820" s="127"/>
      <c r="AI820" s="126"/>
      <c r="AJ820" s="127"/>
      <c r="AK820" s="127"/>
      <c r="AL820" s="129"/>
      <c r="AM820" s="129"/>
      <c r="AN820" s="44"/>
      <c r="AO820" s="44"/>
    </row>
    <row r="821" spans="2:41" ht="15.5">
      <c r="B821" s="125"/>
      <c r="C821" s="126"/>
      <c r="D821" s="126"/>
      <c r="E821" s="127"/>
      <c r="F821" s="128"/>
      <c r="G821" s="126"/>
      <c r="H821" s="127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5"/>
      <c r="X821" s="126"/>
      <c r="Y821" s="126"/>
      <c r="Z821" s="126"/>
      <c r="AA821" s="126"/>
      <c r="AB821" s="126"/>
      <c r="AC821" s="126"/>
      <c r="AD821" s="126"/>
      <c r="AE821" s="127"/>
      <c r="AF821" s="126"/>
      <c r="AG821" s="126"/>
      <c r="AH821" s="127"/>
      <c r="AI821" s="126"/>
      <c r="AJ821" s="127"/>
      <c r="AK821" s="127"/>
      <c r="AL821" s="129"/>
      <c r="AM821" s="129"/>
      <c r="AN821" s="44"/>
      <c r="AO821" s="44"/>
    </row>
    <row r="822" spans="2:41" ht="15.5">
      <c r="B822" s="125"/>
      <c r="C822" s="126"/>
      <c r="D822" s="126"/>
      <c r="E822" s="127"/>
      <c r="F822" s="128"/>
      <c r="G822" s="126"/>
      <c r="H822" s="127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5"/>
      <c r="X822" s="126"/>
      <c r="Y822" s="126"/>
      <c r="Z822" s="126"/>
      <c r="AA822" s="126"/>
      <c r="AB822" s="126"/>
      <c r="AC822" s="126"/>
      <c r="AD822" s="126"/>
      <c r="AE822" s="127"/>
      <c r="AF822" s="126"/>
      <c r="AG822" s="126"/>
      <c r="AH822" s="127"/>
      <c r="AI822" s="126"/>
      <c r="AJ822" s="127"/>
      <c r="AK822" s="127"/>
      <c r="AL822" s="129"/>
      <c r="AM822" s="129"/>
      <c r="AN822" s="44"/>
      <c r="AO822" s="44"/>
    </row>
    <row r="823" spans="2:41" ht="15.5">
      <c r="B823" s="125"/>
      <c r="C823" s="126"/>
      <c r="D823" s="126"/>
      <c r="E823" s="127"/>
      <c r="F823" s="128"/>
      <c r="G823" s="126"/>
      <c r="H823" s="127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5"/>
      <c r="X823" s="126"/>
      <c r="Y823" s="126"/>
      <c r="Z823" s="126"/>
      <c r="AA823" s="126"/>
      <c r="AB823" s="126"/>
      <c r="AC823" s="126"/>
      <c r="AD823" s="126"/>
      <c r="AE823" s="127"/>
      <c r="AF823" s="126"/>
      <c r="AG823" s="126"/>
      <c r="AH823" s="127"/>
      <c r="AI823" s="126"/>
      <c r="AJ823" s="127"/>
      <c r="AK823" s="127"/>
      <c r="AL823" s="129"/>
      <c r="AM823" s="129"/>
      <c r="AN823" s="44"/>
      <c r="AO823" s="44"/>
    </row>
    <row r="824" spans="2:41" ht="15.5">
      <c r="B824" s="125"/>
      <c r="C824" s="126"/>
      <c r="D824" s="126"/>
      <c r="E824" s="127"/>
      <c r="F824" s="128"/>
      <c r="G824" s="126"/>
      <c r="H824" s="127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5"/>
      <c r="X824" s="126"/>
      <c r="Y824" s="126"/>
      <c r="Z824" s="126"/>
      <c r="AA824" s="126"/>
      <c r="AB824" s="126"/>
      <c r="AC824" s="126"/>
      <c r="AD824" s="126"/>
      <c r="AE824" s="127"/>
      <c r="AF824" s="126"/>
      <c r="AG824" s="126"/>
      <c r="AH824" s="127"/>
      <c r="AI824" s="126"/>
      <c r="AJ824" s="127"/>
      <c r="AK824" s="127"/>
      <c r="AL824" s="129"/>
      <c r="AM824" s="129"/>
      <c r="AN824" s="44"/>
      <c r="AO824" s="44"/>
    </row>
    <row r="825" spans="2:41" ht="15.5">
      <c r="B825" s="125"/>
      <c r="C825" s="126"/>
      <c r="D825" s="126"/>
      <c r="E825" s="127"/>
      <c r="F825" s="128"/>
      <c r="G825" s="126"/>
      <c r="H825" s="127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5"/>
      <c r="X825" s="126"/>
      <c r="Y825" s="126"/>
      <c r="Z825" s="126"/>
      <c r="AA825" s="126"/>
      <c r="AB825" s="126"/>
      <c r="AC825" s="126"/>
      <c r="AD825" s="126"/>
      <c r="AE825" s="127"/>
      <c r="AF825" s="126"/>
      <c r="AG825" s="126"/>
      <c r="AH825" s="127"/>
      <c r="AI825" s="126"/>
      <c r="AJ825" s="127"/>
      <c r="AK825" s="127"/>
      <c r="AL825" s="129"/>
      <c r="AM825" s="129"/>
      <c r="AN825" s="44"/>
      <c r="AO825" s="44"/>
    </row>
    <row r="826" spans="2:41" ht="15.5">
      <c r="B826" s="125"/>
      <c r="C826" s="126"/>
      <c r="D826" s="126"/>
      <c r="E826" s="127"/>
      <c r="F826" s="128"/>
      <c r="G826" s="126"/>
      <c r="H826" s="127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5"/>
      <c r="X826" s="126"/>
      <c r="Y826" s="126"/>
      <c r="Z826" s="126"/>
      <c r="AA826" s="126"/>
      <c r="AB826" s="126"/>
      <c r="AC826" s="126"/>
      <c r="AD826" s="126"/>
      <c r="AE826" s="127"/>
      <c r="AF826" s="126"/>
      <c r="AG826" s="126"/>
      <c r="AH826" s="127"/>
      <c r="AI826" s="126"/>
      <c r="AJ826" s="127"/>
      <c r="AK826" s="127"/>
      <c r="AL826" s="129"/>
      <c r="AM826" s="129"/>
      <c r="AN826" s="44"/>
      <c r="AO826" s="44"/>
    </row>
    <row r="827" spans="2:41" ht="15.5">
      <c r="B827" s="125"/>
      <c r="C827" s="126"/>
      <c r="D827" s="126"/>
      <c r="E827" s="127"/>
      <c r="F827" s="128"/>
      <c r="G827" s="126"/>
      <c r="H827" s="127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5"/>
      <c r="X827" s="126"/>
      <c r="Y827" s="126"/>
      <c r="Z827" s="126"/>
      <c r="AA827" s="126"/>
      <c r="AB827" s="126"/>
      <c r="AC827" s="126"/>
      <c r="AD827" s="126"/>
      <c r="AE827" s="127"/>
      <c r="AF827" s="126"/>
      <c r="AG827" s="126"/>
      <c r="AH827" s="127"/>
      <c r="AI827" s="126"/>
      <c r="AJ827" s="127"/>
      <c r="AK827" s="127"/>
      <c r="AL827" s="129"/>
      <c r="AM827" s="129"/>
      <c r="AN827" s="44"/>
      <c r="AO827" s="44"/>
    </row>
    <row r="828" spans="2:41" ht="15.5">
      <c r="B828" s="125"/>
      <c r="C828" s="126"/>
      <c r="D828" s="126"/>
      <c r="E828" s="127"/>
      <c r="F828" s="128"/>
      <c r="G828" s="126"/>
      <c r="H828" s="127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5"/>
      <c r="X828" s="126"/>
      <c r="Y828" s="126"/>
      <c r="Z828" s="126"/>
      <c r="AA828" s="126"/>
      <c r="AB828" s="126"/>
      <c r="AC828" s="126"/>
      <c r="AD828" s="126"/>
      <c r="AE828" s="127"/>
      <c r="AF828" s="126"/>
      <c r="AG828" s="126"/>
      <c r="AH828" s="127"/>
      <c r="AI828" s="126"/>
      <c r="AJ828" s="127"/>
      <c r="AK828" s="127"/>
      <c r="AL828" s="129"/>
      <c r="AM828" s="129"/>
      <c r="AN828" s="44"/>
      <c r="AO828" s="44"/>
    </row>
    <row r="829" spans="2:41" ht="15.5">
      <c r="B829" s="125"/>
      <c r="C829" s="126"/>
      <c r="D829" s="126"/>
      <c r="E829" s="127"/>
      <c r="F829" s="128"/>
      <c r="G829" s="126"/>
      <c r="H829" s="127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5"/>
      <c r="X829" s="126"/>
      <c r="Y829" s="126"/>
      <c r="Z829" s="126"/>
      <c r="AA829" s="126"/>
      <c r="AB829" s="126"/>
      <c r="AC829" s="126"/>
      <c r="AD829" s="126"/>
      <c r="AE829" s="127"/>
      <c r="AF829" s="126"/>
      <c r="AG829" s="126"/>
      <c r="AH829" s="127"/>
      <c r="AI829" s="126"/>
      <c r="AJ829" s="127"/>
      <c r="AK829" s="127"/>
      <c r="AL829" s="129"/>
      <c r="AM829" s="129"/>
      <c r="AN829" s="44"/>
      <c r="AO829" s="44"/>
    </row>
    <row r="830" spans="2:41" ht="15.5">
      <c r="B830" s="125"/>
      <c r="C830" s="126"/>
      <c r="D830" s="126"/>
      <c r="E830" s="127"/>
      <c r="F830" s="128"/>
      <c r="G830" s="126"/>
      <c r="H830" s="127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5"/>
      <c r="X830" s="126"/>
      <c r="Y830" s="126"/>
      <c r="Z830" s="126"/>
      <c r="AA830" s="126"/>
      <c r="AB830" s="126"/>
      <c r="AC830" s="126"/>
      <c r="AD830" s="126"/>
      <c r="AE830" s="127"/>
      <c r="AF830" s="126"/>
      <c r="AG830" s="126"/>
      <c r="AH830" s="127"/>
      <c r="AI830" s="126"/>
      <c r="AJ830" s="127"/>
      <c r="AK830" s="127"/>
      <c r="AL830" s="129"/>
      <c r="AM830" s="129"/>
      <c r="AN830" s="44"/>
      <c r="AO830" s="44"/>
    </row>
    <row r="831" spans="2:41" ht="15.5">
      <c r="B831" s="125"/>
      <c r="C831" s="126"/>
      <c r="D831" s="126"/>
      <c r="E831" s="127"/>
      <c r="F831" s="128"/>
      <c r="G831" s="126"/>
      <c r="H831" s="127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5"/>
      <c r="X831" s="126"/>
      <c r="Y831" s="126"/>
      <c r="Z831" s="126"/>
      <c r="AA831" s="126"/>
      <c r="AB831" s="126"/>
      <c r="AC831" s="126"/>
      <c r="AD831" s="126"/>
      <c r="AE831" s="127"/>
      <c r="AF831" s="126"/>
      <c r="AG831" s="126"/>
      <c r="AH831" s="127"/>
      <c r="AI831" s="126"/>
      <c r="AJ831" s="127"/>
      <c r="AK831" s="127"/>
      <c r="AL831" s="129"/>
      <c r="AM831" s="129"/>
      <c r="AN831" s="44"/>
      <c r="AO831" s="44"/>
    </row>
    <row r="832" spans="2:41" ht="15.5">
      <c r="B832" s="125"/>
      <c r="C832" s="126"/>
      <c r="D832" s="126"/>
      <c r="E832" s="127"/>
      <c r="F832" s="128"/>
      <c r="G832" s="126"/>
      <c r="H832" s="127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5"/>
      <c r="X832" s="126"/>
      <c r="Y832" s="126"/>
      <c r="Z832" s="126"/>
      <c r="AA832" s="126"/>
      <c r="AB832" s="126"/>
      <c r="AC832" s="126"/>
      <c r="AD832" s="126"/>
      <c r="AE832" s="127"/>
      <c r="AF832" s="126"/>
      <c r="AG832" s="126"/>
      <c r="AH832" s="127"/>
      <c r="AI832" s="126"/>
      <c r="AJ832" s="127"/>
      <c r="AK832" s="127"/>
      <c r="AL832" s="129"/>
      <c r="AM832" s="129"/>
      <c r="AN832" s="44"/>
      <c r="AO832" s="44"/>
    </row>
    <row r="833" spans="2:41" ht="15.5">
      <c r="B833" s="125"/>
      <c r="C833" s="126"/>
      <c r="D833" s="126"/>
      <c r="E833" s="127"/>
      <c r="F833" s="128"/>
      <c r="G833" s="126"/>
      <c r="H833" s="127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5"/>
      <c r="X833" s="126"/>
      <c r="Y833" s="126"/>
      <c r="Z833" s="126"/>
      <c r="AA833" s="126"/>
      <c r="AB833" s="126"/>
      <c r="AC833" s="126"/>
      <c r="AD833" s="126"/>
      <c r="AE833" s="127"/>
      <c r="AF833" s="126"/>
      <c r="AG833" s="126"/>
      <c r="AH833" s="127"/>
      <c r="AI833" s="126"/>
      <c r="AJ833" s="127"/>
      <c r="AK833" s="127"/>
      <c r="AL833" s="129"/>
      <c r="AM833" s="129"/>
      <c r="AN833" s="44"/>
      <c r="AO833" s="44"/>
    </row>
    <row r="834" spans="2:41" ht="15.5">
      <c r="B834" s="125"/>
      <c r="C834" s="126"/>
      <c r="D834" s="126"/>
      <c r="E834" s="127"/>
      <c r="F834" s="128"/>
      <c r="G834" s="126"/>
      <c r="H834" s="127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5"/>
      <c r="X834" s="126"/>
      <c r="Y834" s="126"/>
      <c r="Z834" s="126"/>
      <c r="AA834" s="126"/>
      <c r="AB834" s="126"/>
      <c r="AC834" s="126"/>
      <c r="AD834" s="126"/>
      <c r="AE834" s="127"/>
      <c r="AF834" s="126"/>
      <c r="AG834" s="126"/>
      <c r="AH834" s="127"/>
      <c r="AI834" s="126"/>
      <c r="AJ834" s="127"/>
      <c r="AK834" s="127"/>
      <c r="AL834" s="129"/>
      <c r="AM834" s="129"/>
      <c r="AN834" s="44"/>
      <c r="AO834" s="44"/>
    </row>
    <row r="835" spans="2:41" ht="15.5">
      <c r="B835" s="125"/>
      <c r="C835" s="126"/>
      <c r="D835" s="126"/>
      <c r="E835" s="127"/>
      <c r="F835" s="128"/>
      <c r="G835" s="126"/>
      <c r="H835" s="127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5"/>
      <c r="X835" s="126"/>
      <c r="Y835" s="126"/>
      <c r="Z835" s="126"/>
      <c r="AA835" s="126"/>
      <c r="AB835" s="126"/>
      <c r="AC835" s="126"/>
      <c r="AD835" s="126"/>
      <c r="AE835" s="127"/>
      <c r="AF835" s="126"/>
      <c r="AG835" s="126"/>
      <c r="AH835" s="127"/>
      <c r="AI835" s="126"/>
      <c r="AJ835" s="127"/>
      <c r="AK835" s="127"/>
      <c r="AL835" s="129"/>
      <c r="AM835" s="129"/>
      <c r="AN835" s="44"/>
      <c r="AO835" s="44"/>
    </row>
    <row r="836" spans="2:41" ht="15.5">
      <c r="B836" s="125"/>
      <c r="C836" s="126"/>
      <c r="D836" s="126"/>
      <c r="E836" s="127"/>
      <c r="F836" s="128"/>
      <c r="G836" s="126"/>
      <c r="H836" s="127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5"/>
      <c r="X836" s="126"/>
      <c r="Y836" s="126"/>
      <c r="Z836" s="126"/>
      <c r="AA836" s="126"/>
      <c r="AB836" s="126"/>
      <c r="AC836" s="126"/>
      <c r="AD836" s="126"/>
      <c r="AE836" s="127"/>
      <c r="AF836" s="126"/>
      <c r="AG836" s="126"/>
      <c r="AH836" s="127"/>
      <c r="AI836" s="126"/>
      <c r="AJ836" s="127"/>
      <c r="AK836" s="127"/>
      <c r="AL836" s="129"/>
      <c r="AM836" s="129"/>
      <c r="AN836" s="44"/>
      <c r="AO836" s="44"/>
    </row>
    <row r="837" spans="2:41" ht="15.5">
      <c r="B837" s="125"/>
      <c r="C837" s="126"/>
      <c r="D837" s="126"/>
      <c r="E837" s="127"/>
      <c r="F837" s="128"/>
      <c r="G837" s="126"/>
      <c r="H837" s="127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5"/>
      <c r="X837" s="126"/>
      <c r="Y837" s="126"/>
      <c r="Z837" s="126"/>
      <c r="AA837" s="126"/>
      <c r="AB837" s="126"/>
      <c r="AC837" s="126"/>
      <c r="AD837" s="126"/>
      <c r="AE837" s="127"/>
      <c r="AF837" s="126"/>
      <c r="AG837" s="126"/>
      <c r="AH837" s="127"/>
      <c r="AI837" s="126"/>
      <c r="AJ837" s="127"/>
      <c r="AK837" s="127"/>
      <c r="AL837" s="129"/>
      <c r="AM837" s="129"/>
      <c r="AN837" s="44"/>
      <c r="AO837" s="44"/>
    </row>
    <row r="838" spans="2:41" ht="15.5">
      <c r="B838" s="125"/>
      <c r="C838" s="126"/>
      <c r="D838" s="126"/>
      <c r="E838" s="127"/>
      <c r="F838" s="128"/>
      <c r="G838" s="126"/>
      <c r="H838" s="127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5"/>
      <c r="X838" s="126"/>
      <c r="Y838" s="126"/>
      <c r="Z838" s="126"/>
      <c r="AA838" s="126"/>
      <c r="AB838" s="126"/>
      <c r="AC838" s="126"/>
      <c r="AD838" s="126"/>
      <c r="AE838" s="127"/>
      <c r="AF838" s="126"/>
      <c r="AG838" s="126"/>
      <c r="AH838" s="127"/>
      <c r="AI838" s="126"/>
      <c r="AJ838" s="127"/>
      <c r="AK838" s="127"/>
      <c r="AL838" s="129"/>
      <c r="AM838" s="129"/>
      <c r="AN838" s="44"/>
      <c r="AO838" s="44"/>
    </row>
    <row r="839" spans="2:41" ht="15.5">
      <c r="B839" s="125"/>
      <c r="C839" s="126"/>
      <c r="D839" s="126"/>
      <c r="E839" s="127"/>
      <c r="F839" s="128"/>
      <c r="G839" s="126"/>
      <c r="H839" s="127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5"/>
      <c r="X839" s="126"/>
      <c r="Y839" s="126"/>
      <c r="Z839" s="126"/>
      <c r="AA839" s="126"/>
      <c r="AB839" s="126"/>
      <c r="AC839" s="126"/>
      <c r="AD839" s="126"/>
      <c r="AE839" s="127"/>
      <c r="AF839" s="126"/>
      <c r="AG839" s="126"/>
      <c r="AH839" s="127"/>
      <c r="AI839" s="126"/>
      <c r="AJ839" s="127"/>
      <c r="AK839" s="127"/>
      <c r="AL839" s="129"/>
      <c r="AM839" s="129"/>
      <c r="AN839" s="44"/>
      <c r="AO839" s="44"/>
    </row>
    <row r="840" spans="2:41" ht="15.5">
      <c r="B840" s="125"/>
      <c r="C840" s="126"/>
      <c r="D840" s="126"/>
      <c r="E840" s="127"/>
      <c r="F840" s="128"/>
      <c r="G840" s="126"/>
      <c r="H840" s="127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5"/>
      <c r="X840" s="126"/>
      <c r="Y840" s="126"/>
      <c r="Z840" s="126"/>
      <c r="AA840" s="126"/>
      <c r="AB840" s="126"/>
      <c r="AC840" s="126"/>
      <c r="AD840" s="126"/>
      <c r="AE840" s="127"/>
      <c r="AF840" s="126"/>
      <c r="AG840" s="126"/>
      <c r="AH840" s="127"/>
      <c r="AI840" s="126"/>
      <c r="AJ840" s="127"/>
      <c r="AK840" s="127"/>
      <c r="AL840" s="129"/>
      <c r="AM840" s="129"/>
      <c r="AN840" s="44"/>
      <c r="AO840" s="44"/>
    </row>
    <row r="841" spans="2:41" ht="15.5">
      <c r="B841" s="125"/>
      <c r="C841" s="126"/>
      <c r="D841" s="126"/>
      <c r="E841" s="127"/>
      <c r="F841" s="128"/>
      <c r="G841" s="126"/>
      <c r="H841" s="127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5"/>
      <c r="X841" s="126"/>
      <c r="Y841" s="126"/>
      <c r="Z841" s="126"/>
      <c r="AA841" s="126"/>
      <c r="AB841" s="126"/>
      <c r="AC841" s="126"/>
      <c r="AD841" s="126"/>
      <c r="AE841" s="127"/>
      <c r="AF841" s="126"/>
      <c r="AG841" s="126"/>
      <c r="AH841" s="127"/>
      <c r="AI841" s="126"/>
      <c r="AJ841" s="127"/>
      <c r="AK841" s="127"/>
      <c r="AL841" s="129"/>
      <c r="AM841" s="129"/>
      <c r="AN841" s="44"/>
      <c r="AO841" s="44"/>
    </row>
    <row r="842" spans="2:41" ht="15.5">
      <c r="B842" s="125"/>
      <c r="C842" s="126"/>
      <c r="D842" s="126"/>
      <c r="E842" s="127"/>
      <c r="F842" s="128"/>
      <c r="G842" s="126"/>
      <c r="H842" s="127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5"/>
      <c r="X842" s="126"/>
      <c r="Y842" s="126"/>
      <c r="Z842" s="126"/>
      <c r="AA842" s="126"/>
      <c r="AB842" s="126"/>
      <c r="AC842" s="126"/>
      <c r="AD842" s="126"/>
      <c r="AE842" s="127"/>
      <c r="AF842" s="126"/>
      <c r="AG842" s="126"/>
      <c r="AH842" s="127"/>
      <c r="AI842" s="126"/>
      <c r="AJ842" s="127"/>
      <c r="AK842" s="127"/>
      <c r="AL842" s="129"/>
      <c r="AM842" s="129"/>
      <c r="AN842" s="44"/>
      <c r="AO842" s="44"/>
    </row>
    <row r="843" spans="2:41" ht="15.5">
      <c r="B843" s="125"/>
      <c r="C843" s="126"/>
      <c r="D843" s="126"/>
      <c r="E843" s="127"/>
      <c r="F843" s="128"/>
      <c r="G843" s="126"/>
      <c r="H843" s="127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5"/>
      <c r="X843" s="126"/>
      <c r="Y843" s="126"/>
      <c r="Z843" s="126"/>
      <c r="AA843" s="126"/>
      <c r="AB843" s="126"/>
      <c r="AC843" s="126"/>
      <c r="AD843" s="126"/>
      <c r="AE843" s="127"/>
      <c r="AF843" s="126"/>
      <c r="AG843" s="126"/>
      <c r="AH843" s="127"/>
      <c r="AI843" s="126"/>
      <c r="AJ843" s="127"/>
      <c r="AK843" s="127"/>
      <c r="AL843" s="129"/>
      <c r="AM843" s="129"/>
      <c r="AN843" s="44"/>
      <c r="AO843" s="44"/>
    </row>
    <row r="844" spans="2:41" ht="15.5">
      <c r="B844" s="125"/>
      <c r="C844" s="126"/>
      <c r="D844" s="126"/>
      <c r="E844" s="127"/>
      <c r="F844" s="128"/>
      <c r="G844" s="126"/>
      <c r="H844" s="127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5"/>
      <c r="X844" s="126"/>
      <c r="Y844" s="126"/>
      <c r="Z844" s="126"/>
      <c r="AA844" s="126"/>
      <c r="AB844" s="126"/>
      <c r="AC844" s="126"/>
      <c r="AD844" s="126"/>
      <c r="AE844" s="127"/>
      <c r="AF844" s="126"/>
      <c r="AG844" s="126"/>
      <c r="AH844" s="127"/>
      <c r="AI844" s="126"/>
      <c r="AJ844" s="127"/>
      <c r="AK844" s="127"/>
      <c r="AL844" s="129"/>
      <c r="AM844" s="129"/>
      <c r="AN844" s="44"/>
      <c r="AO844" s="44"/>
    </row>
    <row r="845" spans="2:41" ht="15.5">
      <c r="B845" s="125"/>
      <c r="C845" s="126"/>
      <c r="D845" s="126"/>
      <c r="E845" s="127"/>
      <c r="F845" s="128"/>
      <c r="G845" s="126"/>
      <c r="H845" s="127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5"/>
      <c r="X845" s="126"/>
      <c r="Y845" s="126"/>
      <c r="Z845" s="126"/>
      <c r="AA845" s="126"/>
      <c r="AB845" s="126"/>
      <c r="AC845" s="126"/>
      <c r="AD845" s="126"/>
      <c r="AE845" s="127"/>
      <c r="AF845" s="126"/>
      <c r="AG845" s="126"/>
      <c r="AH845" s="127"/>
      <c r="AI845" s="126"/>
      <c r="AJ845" s="127"/>
      <c r="AK845" s="127"/>
      <c r="AL845" s="129"/>
      <c r="AM845" s="129"/>
      <c r="AN845" s="44"/>
      <c r="AO845" s="44"/>
    </row>
    <row r="846" spans="2:41" ht="15.5">
      <c r="B846" s="125"/>
      <c r="C846" s="126"/>
      <c r="D846" s="126"/>
      <c r="E846" s="127"/>
      <c r="F846" s="128"/>
      <c r="G846" s="126"/>
      <c r="H846" s="127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5"/>
      <c r="X846" s="126"/>
      <c r="Y846" s="126"/>
      <c r="Z846" s="126"/>
      <c r="AA846" s="126"/>
      <c r="AB846" s="126"/>
      <c r="AC846" s="126"/>
      <c r="AD846" s="126"/>
      <c r="AE846" s="127"/>
      <c r="AF846" s="126"/>
      <c r="AG846" s="126"/>
      <c r="AH846" s="127"/>
      <c r="AI846" s="126"/>
      <c r="AJ846" s="127"/>
      <c r="AK846" s="127"/>
      <c r="AL846" s="129"/>
      <c r="AM846" s="129"/>
      <c r="AN846" s="44"/>
      <c r="AO846" s="44"/>
    </row>
    <row r="847" spans="2:41" ht="15.5">
      <c r="B847" s="125"/>
      <c r="C847" s="126"/>
      <c r="D847" s="126"/>
      <c r="E847" s="127"/>
      <c r="F847" s="128"/>
      <c r="G847" s="126"/>
      <c r="H847" s="127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5"/>
      <c r="X847" s="126"/>
      <c r="Y847" s="126"/>
      <c r="Z847" s="126"/>
      <c r="AA847" s="126"/>
      <c r="AB847" s="126"/>
      <c r="AC847" s="126"/>
      <c r="AD847" s="126"/>
      <c r="AE847" s="127"/>
      <c r="AF847" s="126"/>
      <c r="AG847" s="126"/>
      <c r="AH847" s="127"/>
      <c r="AI847" s="126"/>
      <c r="AJ847" s="127"/>
      <c r="AK847" s="127"/>
      <c r="AL847" s="129"/>
      <c r="AM847" s="129"/>
      <c r="AN847" s="44"/>
      <c r="AO847" s="44"/>
    </row>
    <row r="848" spans="2:41" ht="15.5">
      <c r="B848" s="125"/>
      <c r="C848" s="126"/>
      <c r="D848" s="126"/>
      <c r="E848" s="127"/>
      <c r="F848" s="128"/>
      <c r="G848" s="126"/>
      <c r="H848" s="127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5"/>
      <c r="X848" s="126"/>
      <c r="Y848" s="126"/>
      <c r="Z848" s="126"/>
      <c r="AA848" s="126"/>
      <c r="AB848" s="126"/>
      <c r="AC848" s="126"/>
      <c r="AD848" s="126"/>
      <c r="AE848" s="127"/>
      <c r="AF848" s="126"/>
      <c r="AG848" s="126"/>
      <c r="AH848" s="127"/>
      <c r="AI848" s="126"/>
      <c r="AJ848" s="127"/>
      <c r="AK848" s="127"/>
      <c r="AL848" s="129"/>
      <c r="AM848" s="129"/>
      <c r="AN848" s="44"/>
      <c r="AO848" s="44"/>
    </row>
    <row r="849" spans="2:41" ht="15.5">
      <c r="B849" s="125"/>
      <c r="C849" s="126"/>
      <c r="D849" s="126"/>
      <c r="E849" s="127"/>
      <c r="F849" s="128"/>
      <c r="G849" s="126"/>
      <c r="H849" s="127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5"/>
      <c r="X849" s="126"/>
      <c r="Y849" s="126"/>
      <c r="Z849" s="126"/>
      <c r="AA849" s="126"/>
      <c r="AB849" s="126"/>
      <c r="AC849" s="126"/>
      <c r="AD849" s="126"/>
      <c r="AE849" s="127"/>
      <c r="AF849" s="126"/>
      <c r="AG849" s="126"/>
      <c r="AH849" s="127"/>
      <c r="AI849" s="126"/>
      <c r="AJ849" s="127"/>
      <c r="AK849" s="127"/>
      <c r="AL849" s="129"/>
      <c r="AM849" s="129"/>
      <c r="AN849" s="44"/>
      <c r="AO849" s="44"/>
    </row>
    <row r="850" spans="2:41" ht="15.5">
      <c r="B850" s="125"/>
      <c r="C850" s="126"/>
      <c r="D850" s="126"/>
      <c r="E850" s="127"/>
      <c r="F850" s="128"/>
      <c r="G850" s="126"/>
      <c r="H850" s="127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5"/>
      <c r="X850" s="126"/>
      <c r="Y850" s="126"/>
      <c r="Z850" s="126"/>
      <c r="AA850" s="126"/>
      <c r="AB850" s="126"/>
      <c r="AC850" s="126"/>
      <c r="AD850" s="126"/>
      <c r="AE850" s="127"/>
      <c r="AF850" s="126"/>
      <c r="AG850" s="126"/>
      <c r="AH850" s="127"/>
      <c r="AI850" s="126"/>
      <c r="AJ850" s="127"/>
      <c r="AK850" s="127"/>
      <c r="AL850" s="129"/>
      <c r="AM850" s="129"/>
      <c r="AN850" s="44"/>
      <c r="AO850" s="44"/>
    </row>
    <row r="851" spans="2:41" ht="15.5">
      <c r="B851" s="125"/>
      <c r="C851" s="126"/>
      <c r="D851" s="126"/>
      <c r="E851" s="127"/>
      <c r="F851" s="128"/>
      <c r="G851" s="126"/>
      <c r="H851" s="127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5"/>
      <c r="X851" s="126"/>
      <c r="Y851" s="126"/>
      <c r="Z851" s="126"/>
      <c r="AA851" s="126"/>
      <c r="AB851" s="126"/>
      <c r="AC851" s="126"/>
      <c r="AD851" s="126"/>
      <c r="AE851" s="127"/>
      <c r="AF851" s="126"/>
      <c r="AG851" s="126"/>
      <c r="AH851" s="127"/>
      <c r="AI851" s="126"/>
      <c r="AJ851" s="127"/>
      <c r="AK851" s="127"/>
      <c r="AL851" s="129"/>
      <c r="AM851" s="129"/>
      <c r="AN851" s="44"/>
      <c r="AO851" s="44"/>
    </row>
    <row r="852" spans="2:41" ht="15.5">
      <c r="B852" s="125"/>
      <c r="C852" s="126"/>
      <c r="D852" s="126"/>
      <c r="E852" s="127"/>
      <c r="F852" s="128"/>
      <c r="G852" s="126"/>
      <c r="H852" s="127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5"/>
      <c r="X852" s="126"/>
      <c r="Y852" s="126"/>
      <c r="Z852" s="126"/>
      <c r="AA852" s="126"/>
      <c r="AB852" s="126"/>
      <c r="AC852" s="126"/>
      <c r="AD852" s="126"/>
      <c r="AE852" s="127"/>
      <c r="AF852" s="126"/>
      <c r="AG852" s="126"/>
      <c r="AH852" s="127"/>
      <c r="AI852" s="126"/>
      <c r="AJ852" s="127"/>
      <c r="AK852" s="127"/>
      <c r="AL852" s="129"/>
      <c r="AM852" s="129"/>
      <c r="AN852" s="44"/>
      <c r="AO852" s="44"/>
    </row>
    <row r="853" spans="2:41" ht="15.5">
      <c r="B853" s="125"/>
      <c r="C853" s="126"/>
      <c r="D853" s="126"/>
      <c r="E853" s="127"/>
      <c r="F853" s="128"/>
      <c r="G853" s="126"/>
      <c r="H853" s="127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5"/>
      <c r="X853" s="126"/>
      <c r="Y853" s="126"/>
      <c r="Z853" s="126"/>
      <c r="AA853" s="126"/>
      <c r="AB853" s="126"/>
      <c r="AC853" s="126"/>
      <c r="AD853" s="126"/>
      <c r="AE853" s="127"/>
      <c r="AF853" s="126"/>
      <c r="AG853" s="126"/>
      <c r="AH853" s="127"/>
      <c r="AI853" s="126"/>
      <c r="AJ853" s="127"/>
      <c r="AK853" s="127"/>
      <c r="AL853" s="129"/>
      <c r="AM853" s="129"/>
      <c r="AN853" s="44"/>
      <c r="AO853" s="44"/>
    </row>
    <row r="854" spans="2:41" ht="15.5">
      <c r="B854" s="125"/>
      <c r="C854" s="126"/>
      <c r="D854" s="126"/>
      <c r="E854" s="127"/>
      <c r="F854" s="128"/>
      <c r="G854" s="126"/>
      <c r="H854" s="127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5"/>
      <c r="X854" s="126"/>
      <c r="Y854" s="126"/>
      <c r="Z854" s="126"/>
      <c r="AA854" s="126"/>
      <c r="AB854" s="126"/>
      <c r="AC854" s="126"/>
      <c r="AD854" s="126"/>
      <c r="AE854" s="127"/>
      <c r="AF854" s="126"/>
      <c r="AG854" s="126"/>
      <c r="AH854" s="127"/>
      <c r="AI854" s="126"/>
      <c r="AJ854" s="127"/>
      <c r="AK854" s="127"/>
      <c r="AL854" s="129"/>
      <c r="AM854" s="129"/>
      <c r="AN854" s="44"/>
      <c r="AO854" s="44"/>
    </row>
    <row r="855" spans="2:41" ht="15.5">
      <c r="B855" s="125"/>
      <c r="C855" s="126"/>
      <c r="D855" s="126"/>
      <c r="E855" s="127"/>
      <c r="F855" s="128"/>
      <c r="G855" s="126"/>
      <c r="H855" s="127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5"/>
      <c r="X855" s="126"/>
      <c r="Y855" s="126"/>
      <c r="Z855" s="126"/>
      <c r="AA855" s="126"/>
      <c r="AB855" s="126"/>
      <c r="AC855" s="126"/>
      <c r="AD855" s="126"/>
      <c r="AE855" s="127"/>
      <c r="AF855" s="126"/>
      <c r="AG855" s="126"/>
      <c r="AH855" s="127"/>
      <c r="AI855" s="126"/>
      <c r="AJ855" s="127"/>
      <c r="AK855" s="127"/>
      <c r="AL855" s="129"/>
      <c r="AM855" s="129"/>
      <c r="AN855" s="44"/>
      <c r="AO855" s="44"/>
    </row>
    <row r="856" spans="2:41" ht="15.5">
      <c r="B856" s="125"/>
      <c r="C856" s="126"/>
      <c r="D856" s="126"/>
      <c r="E856" s="127"/>
      <c r="F856" s="128"/>
      <c r="G856" s="126"/>
      <c r="H856" s="127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5"/>
      <c r="X856" s="126"/>
      <c r="Y856" s="126"/>
      <c r="Z856" s="126"/>
      <c r="AA856" s="126"/>
      <c r="AB856" s="126"/>
      <c r="AC856" s="126"/>
      <c r="AD856" s="126"/>
      <c r="AE856" s="127"/>
      <c r="AF856" s="126"/>
      <c r="AG856" s="126"/>
      <c r="AH856" s="127"/>
      <c r="AI856" s="126"/>
      <c r="AJ856" s="127"/>
      <c r="AK856" s="127"/>
      <c r="AL856" s="129"/>
      <c r="AM856" s="129"/>
      <c r="AN856" s="44"/>
      <c r="AO856" s="44"/>
    </row>
    <row r="857" spans="2:41" ht="15.5">
      <c r="B857" s="125"/>
      <c r="C857" s="126"/>
      <c r="D857" s="126"/>
      <c r="E857" s="127"/>
      <c r="F857" s="128"/>
      <c r="G857" s="126"/>
      <c r="H857" s="127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5"/>
      <c r="X857" s="126"/>
      <c r="Y857" s="126"/>
      <c r="Z857" s="126"/>
      <c r="AA857" s="126"/>
      <c r="AB857" s="126"/>
      <c r="AC857" s="126"/>
      <c r="AD857" s="126"/>
      <c r="AE857" s="127"/>
      <c r="AF857" s="126"/>
      <c r="AG857" s="126"/>
      <c r="AH857" s="127"/>
      <c r="AI857" s="126"/>
      <c r="AJ857" s="127"/>
      <c r="AK857" s="127"/>
      <c r="AL857" s="129"/>
      <c r="AM857" s="129"/>
      <c r="AN857" s="44"/>
      <c r="AO857" s="44"/>
    </row>
    <row r="858" spans="2:41" ht="15.5">
      <c r="B858" s="125"/>
      <c r="C858" s="126"/>
      <c r="D858" s="126"/>
      <c r="E858" s="127"/>
      <c r="F858" s="128"/>
      <c r="G858" s="126"/>
      <c r="H858" s="127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5"/>
      <c r="X858" s="126"/>
      <c r="Y858" s="126"/>
      <c r="Z858" s="126"/>
      <c r="AA858" s="126"/>
      <c r="AB858" s="126"/>
      <c r="AC858" s="126"/>
      <c r="AD858" s="126"/>
      <c r="AE858" s="127"/>
      <c r="AF858" s="126"/>
      <c r="AG858" s="126"/>
      <c r="AH858" s="127"/>
      <c r="AI858" s="126"/>
      <c r="AJ858" s="127"/>
      <c r="AK858" s="127"/>
      <c r="AL858" s="129"/>
      <c r="AM858" s="129"/>
      <c r="AN858" s="44"/>
      <c r="AO858" s="44"/>
    </row>
    <row r="859" spans="2:41" ht="15.5">
      <c r="B859" s="125"/>
      <c r="C859" s="126"/>
      <c r="D859" s="126"/>
      <c r="E859" s="127"/>
      <c r="F859" s="128"/>
      <c r="G859" s="126"/>
      <c r="H859" s="127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5"/>
      <c r="X859" s="126"/>
      <c r="Y859" s="126"/>
      <c r="Z859" s="126"/>
      <c r="AA859" s="126"/>
      <c r="AB859" s="126"/>
      <c r="AC859" s="126"/>
      <c r="AD859" s="126"/>
      <c r="AE859" s="127"/>
      <c r="AF859" s="126"/>
      <c r="AG859" s="126"/>
      <c r="AH859" s="127"/>
      <c r="AI859" s="126"/>
      <c r="AJ859" s="127"/>
      <c r="AK859" s="127"/>
      <c r="AL859" s="129"/>
      <c r="AM859" s="129"/>
      <c r="AN859" s="44"/>
      <c r="AO859" s="44"/>
    </row>
    <row r="860" spans="2:41" ht="15.5">
      <c r="B860" s="125"/>
      <c r="C860" s="126"/>
      <c r="D860" s="126"/>
      <c r="E860" s="127"/>
      <c r="F860" s="128"/>
      <c r="G860" s="126"/>
      <c r="H860" s="127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5"/>
      <c r="X860" s="126"/>
      <c r="Y860" s="126"/>
      <c r="Z860" s="126"/>
      <c r="AA860" s="126"/>
      <c r="AB860" s="126"/>
      <c r="AC860" s="126"/>
      <c r="AD860" s="126"/>
      <c r="AE860" s="127"/>
      <c r="AF860" s="126"/>
      <c r="AG860" s="126"/>
      <c r="AH860" s="127"/>
      <c r="AI860" s="126"/>
      <c r="AJ860" s="127"/>
      <c r="AK860" s="127"/>
      <c r="AL860" s="129"/>
      <c r="AM860" s="129"/>
      <c r="AN860" s="44"/>
      <c r="AO860" s="44"/>
    </row>
    <row r="861" spans="2:41" ht="15.5">
      <c r="B861" s="125"/>
      <c r="C861" s="126"/>
      <c r="D861" s="126"/>
      <c r="E861" s="127"/>
      <c r="F861" s="128"/>
      <c r="G861" s="126"/>
      <c r="H861" s="127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5"/>
      <c r="X861" s="126"/>
      <c r="Y861" s="126"/>
      <c r="Z861" s="126"/>
      <c r="AA861" s="126"/>
      <c r="AB861" s="126"/>
      <c r="AC861" s="126"/>
      <c r="AD861" s="126"/>
      <c r="AE861" s="127"/>
      <c r="AF861" s="126"/>
      <c r="AG861" s="126"/>
      <c r="AH861" s="127"/>
      <c r="AI861" s="126"/>
      <c r="AJ861" s="127"/>
      <c r="AK861" s="127"/>
      <c r="AL861" s="129"/>
      <c r="AM861" s="129"/>
      <c r="AN861" s="44"/>
      <c r="AO861" s="44"/>
    </row>
    <row r="862" spans="2:41" ht="15.5">
      <c r="B862" s="125"/>
      <c r="C862" s="126"/>
      <c r="D862" s="126"/>
      <c r="E862" s="127"/>
      <c r="F862" s="128"/>
      <c r="G862" s="126"/>
      <c r="H862" s="127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5"/>
      <c r="X862" s="126"/>
      <c r="Y862" s="126"/>
      <c r="Z862" s="126"/>
      <c r="AA862" s="126"/>
      <c r="AB862" s="126"/>
      <c r="AC862" s="126"/>
      <c r="AD862" s="126"/>
      <c r="AE862" s="127"/>
      <c r="AF862" s="126"/>
      <c r="AG862" s="126"/>
      <c r="AH862" s="127"/>
      <c r="AI862" s="126"/>
      <c r="AJ862" s="127"/>
      <c r="AK862" s="127"/>
      <c r="AL862" s="129"/>
      <c r="AM862" s="129"/>
      <c r="AN862" s="44"/>
      <c r="AO862" s="44"/>
    </row>
    <row r="863" spans="2:41" ht="15.5">
      <c r="B863" s="125"/>
      <c r="C863" s="126"/>
      <c r="D863" s="126"/>
      <c r="E863" s="127"/>
      <c r="F863" s="128"/>
      <c r="G863" s="126"/>
      <c r="H863" s="127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5"/>
      <c r="X863" s="126"/>
      <c r="Y863" s="126"/>
      <c r="Z863" s="126"/>
      <c r="AA863" s="126"/>
      <c r="AB863" s="126"/>
      <c r="AC863" s="126"/>
      <c r="AD863" s="126"/>
      <c r="AE863" s="127"/>
      <c r="AF863" s="126"/>
      <c r="AG863" s="126"/>
      <c r="AH863" s="127"/>
      <c r="AI863" s="126"/>
      <c r="AJ863" s="127"/>
      <c r="AK863" s="127"/>
      <c r="AL863" s="129"/>
      <c r="AM863" s="129"/>
      <c r="AN863" s="44"/>
      <c r="AO863" s="44"/>
    </row>
    <row r="864" spans="2:41" ht="15.5">
      <c r="B864" s="125"/>
      <c r="C864" s="126"/>
      <c r="D864" s="126"/>
      <c r="E864" s="127"/>
      <c r="F864" s="128"/>
      <c r="G864" s="126"/>
      <c r="H864" s="127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5"/>
      <c r="X864" s="126"/>
      <c r="Y864" s="126"/>
      <c r="Z864" s="126"/>
      <c r="AA864" s="126"/>
      <c r="AB864" s="126"/>
      <c r="AC864" s="126"/>
      <c r="AD864" s="126"/>
      <c r="AE864" s="127"/>
      <c r="AF864" s="126"/>
      <c r="AG864" s="126"/>
      <c r="AH864" s="127"/>
      <c r="AI864" s="126"/>
      <c r="AJ864" s="127"/>
      <c r="AK864" s="127"/>
      <c r="AL864" s="129"/>
      <c r="AM864" s="129"/>
      <c r="AN864" s="44"/>
      <c r="AO864" s="44"/>
    </row>
    <row r="865" spans="2:41" ht="15.5">
      <c r="B865" s="125"/>
      <c r="C865" s="126"/>
      <c r="D865" s="126"/>
      <c r="E865" s="127"/>
      <c r="F865" s="128"/>
      <c r="G865" s="126"/>
      <c r="H865" s="127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5"/>
      <c r="X865" s="126"/>
      <c r="Y865" s="126"/>
      <c r="Z865" s="126"/>
      <c r="AA865" s="126"/>
      <c r="AB865" s="126"/>
      <c r="AC865" s="126"/>
      <c r="AD865" s="126"/>
      <c r="AE865" s="127"/>
      <c r="AF865" s="126"/>
      <c r="AG865" s="126"/>
      <c r="AH865" s="127"/>
      <c r="AI865" s="126"/>
      <c r="AJ865" s="127"/>
      <c r="AK865" s="127"/>
      <c r="AL865" s="129"/>
      <c r="AM865" s="129"/>
      <c r="AN865" s="44"/>
      <c r="AO865" s="44"/>
    </row>
    <row r="866" spans="2:41" ht="15.5">
      <c r="B866" s="125"/>
      <c r="C866" s="126"/>
      <c r="D866" s="126"/>
      <c r="E866" s="127"/>
      <c r="F866" s="128"/>
      <c r="G866" s="126"/>
      <c r="H866" s="127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5"/>
      <c r="X866" s="126"/>
      <c r="Y866" s="126"/>
      <c r="Z866" s="126"/>
      <c r="AA866" s="126"/>
      <c r="AB866" s="126"/>
      <c r="AC866" s="126"/>
      <c r="AD866" s="126"/>
      <c r="AE866" s="127"/>
      <c r="AF866" s="126"/>
      <c r="AG866" s="126"/>
      <c r="AH866" s="127"/>
      <c r="AI866" s="126"/>
      <c r="AJ866" s="127"/>
      <c r="AK866" s="127"/>
      <c r="AL866" s="129"/>
      <c r="AM866" s="129"/>
      <c r="AN866" s="44"/>
      <c r="AO866" s="44"/>
    </row>
    <row r="867" spans="2:41" ht="15.5">
      <c r="B867" s="125"/>
      <c r="C867" s="126"/>
      <c r="D867" s="126"/>
      <c r="E867" s="127"/>
      <c r="F867" s="128"/>
      <c r="G867" s="126"/>
      <c r="H867" s="127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5"/>
      <c r="X867" s="126"/>
      <c r="Y867" s="126"/>
      <c r="Z867" s="126"/>
      <c r="AA867" s="126"/>
      <c r="AB867" s="126"/>
      <c r="AC867" s="126"/>
      <c r="AD867" s="126"/>
      <c r="AE867" s="127"/>
      <c r="AF867" s="126"/>
      <c r="AG867" s="126"/>
      <c r="AH867" s="127"/>
      <c r="AI867" s="126"/>
      <c r="AJ867" s="127"/>
      <c r="AK867" s="127"/>
      <c r="AL867" s="129"/>
      <c r="AM867" s="129"/>
      <c r="AN867" s="44"/>
      <c r="AO867" s="44"/>
    </row>
    <row r="868" spans="2:41" ht="15.5">
      <c r="B868" s="125"/>
      <c r="C868" s="126"/>
      <c r="D868" s="126"/>
      <c r="E868" s="127"/>
      <c r="F868" s="128"/>
      <c r="G868" s="126"/>
      <c r="H868" s="127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5"/>
      <c r="X868" s="126"/>
      <c r="Y868" s="126"/>
      <c r="Z868" s="126"/>
      <c r="AA868" s="126"/>
      <c r="AB868" s="126"/>
      <c r="AC868" s="126"/>
      <c r="AD868" s="126"/>
      <c r="AE868" s="127"/>
      <c r="AF868" s="126"/>
      <c r="AG868" s="126"/>
      <c r="AH868" s="127"/>
      <c r="AI868" s="126"/>
      <c r="AJ868" s="127"/>
      <c r="AK868" s="127"/>
      <c r="AL868" s="129"/>
      <c r="AM868" s="129"/>
      <c r="AN868" s="44"/>
      <c r="AO868" s="44"/>
    </row>
    <row r="869" spans="2:41" ht="15.5">
      <c r="B869" s="125"/>
      <c r="C869" s="126"/>
      <c r="D869" s="126"/>
      <c r="E869" s="127"/>
      <c r="F869" s="128"/>
      <c r="G869" s="126"/>
      <c r="H869" s="127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5"/>
      <c r="X869" s="126"/>
      <c r="Y869" s="126"/>
      <c r="Z869" s="126"/>
      <c r="AA869" s="126"/>
      <c r="AB869" s="126"/>
      <c r="AC869" s="126"/>
      <c r="AD869" s="126"/>
      <c r="AE869" s="127"/>
      <c r="AF869" s="126"/>
      <c r="AG869" s="126"/>
      <c r="AH869" s="127"/>
      <c r="AI869" s="126"/>
      <c r="AJ869" s="127"/>
      <c r="AK869" s="127"/>
      <c r="AL869" s="129"/>
      <c r="AM869" s="129"/>
      <c r="AN869" s="44"/>
      <c r="AO869" s="44"/>
    </row>
    <row r="870" spans="2:41" ht="15.5">
      <c r="B870" s="125"/>
      <c r="C870" s="126"/>
      <c r="D870" s="126"/>
      <c r="E870" s="127"/>
      <c r="F870" s="128"/>
      <c r="G870" s="126"/>
      <c r="H870" s="127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5"/>
      <c r="X870" s="126"/>
      <c r="Y870" s="126"/>
      <c r="Z870" s="126"/>
      <c r="AA870" s="126"/>
      <c r="AB870" s="126"/>
      <c r="AC870" s="126"/>
      <c r="AD870" s="126"/>
      <c r="AE870" s="127"/>
      <c r="AF870" s="126"/>
      <c r="AG870" s="126"/>
      <c r="AH870" s="127"/>
      <c r="AI870" s="126"/>
      <c r="AJ870" s="127"/>
      <c r="AK870" s="127"/>
      <c r="AL870" s="129"/>
      <c r="AM870" s="129"/>
      <c r="AN870" s="44"/>
      <c r="AO870" s="44"/>
    </row>
    <row r="871" spans="2:41" ht="15.5">
      <c r="B871" s="125"/>
      <c r="C871" s="126"/>
      <c r="D871" s="126"/>
      <c r="E871" s="127"/>
      <c r="F871" s="128"/>
      <c r="G871" s="126"/>
      <c r="H871" s="127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5"/>
      <c r="X871" s="126"/>
      <c r="Y871" s="126"/>
      <c r="Z871" s="126"/>
      <c r="AA871" s="126"/>
      <c r="AB871" s="126"/>
      <c r="AC871" s="126"/>
      <c r="AD871" s="126"/>
      <c r="AE871" s="127"/>
      <c r="AF871" s="126"/>
      <c r="AG871" s="126"/>
      <c r="AH871" s="127"/>
      <c r="AI871" s="126"/>
      <c r="AJ871" s="127"/>
      <c r="AK871" s="127"/>
      <c r="AL871" s="129"/>
      <c r="AM871" s="129"/>
      <c r="AN871" s="44"/>
      <c r="AO871" s="44"/>
    </row>
    <row r="872" spans="2:41" ht="15.5">
      <c r="B872" s="125"/>
      <c r="C872" s="126"/>
      <c r="D872" s="126"/>
      <c r="E872" s="127"/>
      <c r="F872" s="128"/>
      <c r="G872" s="126"/>
      <c r="H872" s="127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5"/>
      <c r="X872" s="126"/>
      <c r="Y872" s="126"/>
      <c r="Z872" s="126"/>
      <c r="AA872" s="126"/>
      <c r="AB872" s="126"/>
      <c r="AC872" s="126"/>
      <c r="AD872" s="126"/>
      <c r="AE872" s="127"/>
      <c r="AF872" s="126"/>
      <c r="AG872" s="126"/>
      <c r="AH872" s="127"/>
      <c r="AI872" s="126"/>
      <c r="AJ872" s="127"/>
      <c r="AK872" s="127"/>
      <c r="AL872" s="129"/>
      <c r="AM872" s="129"/>
      <c r="AN872" s="44"/>
      <c r="AO872" s="44"/>
    </row>
    <row r="873" spans="2:41" ht="15.5">
      <c r="B873" s="125"/>
      <c r="C873" s="126"/>
      <c r="D873" s="126"/>
      <c r="E873" s="127"/>
      <c r="F873" s="128"/>
      <c r="G873" s="126"/>
      <c r="H873" s="127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5"/>
      <c r="X873" s="126"/>
      <c r="Y873" s="126"/>
      <c r="Z873" s="126"/>
      <c r="AA873" s="126"/>
      <c r="AB873" s="126"/>
      <c r="AC873" s="126"/>
      <c r="AD873" s="126"/>
      <c r="AE873" s="127"/>
      <c r="AF873" s="126"/>
      <c r="AG873" s="126"/>
      <c r="AH873" s="127"/>
      <c r="AI873" s="126"/>
      <c r="AJ873" s="127"/>
      <c r="AK873" s="127"/>
      <c r="AL873" s="129"/>
      <c r="AM873" s="129"/>
      <c r="AN873" s="44"/>
      <c r="AO873" s="44"/>
    </row>
    <row r="874" spans="2:41" ht="15.5">
      <c r="B874" s="125"/>
      <c r="C874" s="126"/>
      <c r="D874" s="126"/>
      <c r="E874" s="127"/>
      <c r="F874" s="128"/>
      <c r="G874" s="126"/>
      <c r="H874" s="127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5"/>
      <c r="X874" s="126"/>
      <c r="Y874" s="126"/>
      <c r="Z874" s="126"/>
      <c r="AA874" s="126"/>
      <c r="AB874" s="126"/>
      <c r="AC874" s="126"/>
      <c r="AD874" s="126"/>
      <c r="AE874" s="127"/>
      <c r="AF874" s="126"/>
      <c r="AG874" s="126"/>
      <c r="AH874" s="127"/>
      <c r="AI874" s="126"/>
      <c r="AJ874" s="127"/>
      <c r="AK874" s="127"/>
      <c r="AL874" s="129"/>
      <c r="AM874" s="129"/>
      <c r="AN874" s="44"/>
      <c r="AO874" s="44"/>
    </row>
    <row r="875" spans="2:41" ht="15.5">
      <c r="B875" s="125"/>
      <c r="C875" s="126"/>
      <c r="D875" s="126"/>
      <c r="E875" s="127"/>
      <c r="F875" s="128"/>
      <c r="G875" s="126"/>
      <c r="H875" s="127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5"/>
      <c r="X875" s="126"/>
      <c r="Y875" s="126"/>
      <c r="Z875" s="126"/>
      <c r="AA875" s="126"/>
      <c r="AB875" s="126"/>
      <c r="AC875" s="126"/>
      <c r="AD875" s="126"/>
      <c r="AE875" s="127"/>
      <c r="AF875" s="126"/>
      <c r="AG875" s="126"/>
      <c r="AH875" s="127"/>
      <c r="AI875" s="126"/>
      <c r="AJ875" s="127"/>
      <c r="AK875" s="127"/>
      <c r="AL875" s="129"/>
      <c r="AM875" s="129"/>
      <c r="AN875" s="44"/>
      <c r="AO875" s="44"/>
    </row>
    <row r="876" spans="2:41" ht="15.5">
      <c r="B876" s="125"/>
      <c r="C876" s="126"/>
      <c r="D876" s="126"/>
      <c r="E876" s="127"/>
      <c r="F876" s="128"/>
      <c r="G876" s="126"/>
      <c r="H876" s="127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5"/>
      <c r="X876" s="126"/>
      <c r="Y876" s="126"/>
      <c r="Z876" s="126"/>
      <c r="AA876" s="126"/>
      <c r="AB876" s="126"/>
      <c r="AC876" s="126"/>
      <c r="AD876" s="126"/>
      <c r="AE876" s="127"/>
      <c r="AF876" s="126"/>
      <c r="AG876" s="126"/>
      <c r="AH876" s="127"/>
      <c r="AI876" s="126"/>
      <c r="AJ876" s="127"/>
      <c r="AK876" s="127"/>
      <c r="AL876" s="129"/>
      <c r="AM876" s="129"/>
      <c r="AN876" s="44"/>
      <c r="AO876" s="44"/>
    </row>
    <row r="877" spans="2:41" ht="15.5">
      <c r="B877" s="125"/>
      <c r="C877" s="126"/>
      <c r="D877" s="126"/>
      <c r="E877" s="127"/>
      <c r="F877" s="128"/>
      <c r="G877" s="126"/>
      <c r="H877" s="127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5"/>
      <c r="X877" s="126"/>
      <c r="Y877" s="126"/>
      <c r="Z877" s="126"/>
      <c r="AA877" s="126"/>
      <c r="AB877" s="126"/>
      <c r="AC877" s="126"/>
      <c r="AD877" s="126"/>
      <c r="AE877" s="127"/>
      <c r="AF877" s="126"/>
      <c r="AG877" s="126"/>
      <c r="AH877" s="127"/>
      <c r="AI877" s="126"/>
      <c r="AJ877" s="127"/>
      <c r="AK877" s="127"/>
      <c r="AL877" s="129"/>
      <c r="AM877" s="129"/>
      <c r="AN877" s="44"/>
      <c r="AO877" s="44"/>
    </row>
    <row r="878" spans="2:41" ht="15.5">
      <c r="B878" s="125"/>
      <c r="C878" s="126"/>
      <c r="D878" s="126"/>
      <c r="E878" s="127"/>
      <c r="F878" s="128"/>
      <c r="G878" s="126"/>
      <c r="H878" s="127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5"/>
      <c r="X878" s="126"/>
      <c r="Y878" s="126"/>
      <c r="Z878" s="126"/>
      <c r="AA878" s="126"/>
      <c r="AB878" s="126"/>
      <c r="AC878" s="126"/>
      <c r="AD878" s="126"/>
      <c r="AE878" s="127"/>
      <c r="AF878" s="126"/>
      <c r="AG878" s="126"/>
      <c r="AH878" s="127"/>
      <c r="AI878" s="126"/>
      <c r="AJ878" s="127"/>
      <c r="AK878" s="127"/>
      <c r="AL878" s="129"/>
      <c r="AM878" s="129"/>
      <c r="AN878" s="44"/>
      <c r="AO878" s="44"/>
    </row>
    <row r="879" spans="2:41" ht="15.5">
      <c r="B879" s="125"/>
      <c r="C879" s="126"/>
      <c r="D879" s="126"/>
      <c r="E879" s="127"/>
      <c r="F879" s="128"/>
      <c r="G879" s="126"/>
      <c r="H879" s="127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5"/>
      <c r="X879" s="126"/>
      <c r="Y879" s="126"/>
      <c r="Z879" s="126"/>
      <c r="AA879" s="126"/>
      <c r="AB879" s="126"/>
      <c r="AC879" s="126"/>
      <c r="AD879" s="126"/>
      <c r="AE879" s="127"/>
      <c r="AF879" s="126"/>
      <c r="AG879" s="126"/>
      <c r="AH879" s="127"/>
      <c r="AI879" s="126"/>
      <c r="AJ879" s="127"/>
      <c r="AK879" s="127"/>
      <c r="AL879" s="129"/>
      <c r="AM879" s="129"/>
      <c r="AN879" s="44"/>
      <c r="AO879" s="44"/>
    </row>
    <row r="880" spans="2:41" ht="15.5">
      <c r="B880" s="125"/>
      <c r="C880" s="126"/>
      <c r="D880" s="126"/>
      <c r="E880" s="127"/>
      <c r="F880" s="128"/>
      <c r="G880" s="126"/>
      <c r="H880" s="127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5"/>
      <c r="X880" s="126"/>
      <c r="Y880" s="126"/>
      <c r="Z880" s="126"/>
      <c r="AA880" s="126"/>
      <c r="AB880" s="126"/>
      <c r="AC880" s="126"/>
      <c r="AD880" s="126"/>
      <c r="AE880" s="127"/>
      <c r="AF880" s="126"/>
      <c r="AG880" s="126"/>
      <c r="AH880" s="127"/>
      <c r="AI880" s="126"/>
      <c r="AJ880" s="127"/>
      <c r="AK880" s="127"/>
      <c r="AL880" s="129"/>
      <c r="AM880" s="129"/>
      <c r="AN880" s="44"/>
      <c r="AO880" s="44"/>
    </row>
    <row r="881" spans="2:41" ht="15.5">
      <c r="B881" s="125"/>
      <c r="C881" s="126"/>
      <c r="D881" s="126"/>
      <c r="E881" s="127"/>
      <c r="F881" s="128"/>
      <c r="G881" s="126"/>
      <c r="H881" s="127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5"/>
      <c r="X881" s="126"/>
      <c r="Y881" s="126"/>
      <c r="Z881" s="126"/>
      <c r="AA881" s="126"/>
      <c r="AB881" s="126"/>
      <c r="AC881" s="126"/>
      <c r="AD881" s="126"/>
      <c r="AE881" s="127"/>
      <c r="AF881" s="126"/>
      <c r="AG881" s="126"/>
      <c r="AH881" s="127"/>
      <c r="AI881" s="126"/>
      <c r="AJ881" s="127"/>
      <c r="AK881" s="127"/>
      <c r="AL881" s="129"/>
      <c r="AM881" s="129"/>
      <c r="AN881" s="44"/>
      <c r="AO881" s="44"/>
    </row>
    <row r="882" spans="2:41" ht="15.5">
      <c r="B882" s="125"/>
      <c r="C882" s="126"/>
      <c r="D882" s="126"/>
      <c r="E882" s="127"/>
      <c r="F882" s="128"/>
      <c r="G882" s="126"/>
      <c r="H882" s="127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5"/>
      <c r="X882" s="126"/>
      <c r="Y882" s="126"/>
      <c r="Z882" s="126"/>
      <c r="AA882" s="126"/>
      <c r="AB882" s="126"/>
      <c r="AC882" s="126"/>
      <c r="AD882" s="126"/>
      <c r="AE882" s="127"/>
      <c r="AF882" s="126"/>
      <c r="AG882" s="126"/>
      <c r="AH882" s="127"/>
      <c r="AI882" s="126"/>
      <c r="AJ882" s="127"/>
      <c r="AK882" s="127"/>
      <c r="AL882" s="129"/>
      <c r="AM882" s="129"/>
      <c r="AN882" s="44"/>
      <c r="AO882" s="44"/>
    </row>
    <row r="883" spans="2:41" ht="15.5">
      <c r="B883" s="125"/>
      <c r="C883" s="126"/>
      <c r="D883" s="126"/>
      <c r="E883" s="127"/>
      <c r="F883" s="128"/>
      <c r="G883" s="126"/>
      <c r="H883" s="127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5"/>
      <c r="X883" s="126"/>
      <c r="Y883" s="126"/>
      <c r="Z883" s="126"/>
      <c r="AA883" s="126"/>
      <c r="AB883" s="126"/>
      <c r="AC883" s="126"/>
      <c r="AD883" s="126"/>
      <c r="AE883" s="127"/>
      <c r="AF883" s="126"/>
      <c r="AG883" s="126"/>
      <c r="AH883" s="127"/>
      <c r="AI883" s="126"/>
      <c r="AJ883" s="127"/>
      <c r="AK883" s="127"/>
      <c r="AL883" s="129"/>
      <c r="AM883" s="129"/>
      <c r="AN883" s="44"/>
      <c r="AO883" s="44"/>
    </row>
    <row r="884" spans="2:41" ht="15.5">
      <c r="B884" s="125"/>
      <c r="C884" s="126"/>
      <c r="D884" s="126"/>
      <c r="E884" s="127"/>
      <c r="F884" s="128"/>
      <c r="G884" s="126"/>
      <c r="H884" s="127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5"/>
      <c r="X884" s="126"/>
      <c r="Y884" s="126"/>
      <c r="Z884" s="126"/>
      <c r="AA884" s="126"/>
      <c r="AB884" s="126"/>
      <c r="AC884" s="126"/>
      <c r="AD884" s="126"/>
      <c r="AE884" s="127"/>
      <c r="AF884" s="126"/>
      <c r="AG884" s="126"/>
      <c r="AH884" s="127"/>
      <c r="AI884" s="126"/>
      <c r="AJ884" s="127"/>
      <c r="AK884" s="127"/>
      <c r="AL884" s="129"/>
      <c r="AM884" s="129"/>
      <c r="AN884" s="44"/>
      <c r="AO884" s="44"/>
    </row>
    <row r="885" spans="2:41" ht="15.5">
      <c r="B885" s="125"/>
      <c r="C885" s="126"/>
      <c r="D885" s="126"/>
      <c r="E885" s="127"/>
      <c r="F885" s="128"/>
      <c r="G885" s="126"/>
      <c r="H885" s="127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5"/>
      <c r="X885" s="126"/>
      <c r="Y885" s="126"/>
      <c r="Z885" s="126"/>
      <c r="AA885" s="126"/>
      <c r="AB885" s="126"/>
      <c r="AC885" s="126"/>
      <c r="AD885" s="126"/>
      <c r="AE885" s="127"/>
      <c r="AF885" s="126"/>
      <c r="AG885" s="126"/>
      <c r="AH885" s="127"/>
      <c r="AI885" s="126"/>
      <c r="AJ885" s="127"/>
      <c r="AK885" s="127"/>
      <c r="AL885" s="129"/>
      <c r="AM885" s="129"/>
      <c r="AN885" s="44"/>
      <c r="AO885" s="44"/>
    </row>
    <row r="886" spans="2:41" ht="15.5">
      <c r="B886" s="125"/>
      <c r="C886" s="126"/>
      <c r="D886" s="126"/>
      <c r="E886" s="127"/>
      <c r="F886" s="128"/>
      <c r="G886" s="126"/>
      <c r="H886" s="127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5"/>
      <c r="X886" s="126"/>
      <c r="Y886" s="126"/>
      <c r="Z886" s="126"/>
      <c r="AA886" s="126"/>
      <c r="AB886" s="126"/>
      <c r="AC886" s="126"/>
      <c r="AD886" s="126"/>
      <c r="AE886" s="127"/>
      <c r="AF886" s="126"/>
      <c r="AG886" s="126"/>
      <c r="AH886" s="127"/>
      <c r="AI886" s="126"/>
      <c r="AJ886" s="127"/>
      <c r="AK886" s="127"/>
      <c r="AL886" s="129"/>
      <c r="AM886" s="129"/>
      <c r="AN886" s="44"/>
      <c r="AO886" s="44"/>
    </row>
    <row r="887" spans="2:41" ht="15.5">
      <c r="B887" s="125"/>
      <c r="C887" s="126"/>
      <c r="D887" s="126"/>
      <c r="E887" s="127"/>
      <c r="F887" s="128"/>
      <c r="G887" s="126"/>
      <c r="H887" s="127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5"/>
      <c r="X887" s="126"/>
      <c r="Y887" s="126"/>
      <c r="Z887" s="126"/>
      <c r="AA887" s="126"/>
      <c r="AB887" s="126"/>
      <c r="AC887" s="126"/>
      <c r="AD887" s="126"/>
      <c r="AE887" s="127"/>
      <c r="AF887" s="126"/>
      <c r="AG887" s="126"/>
      <c r="AH887" s="127"/>
      <c r="AI887" s="126"/>
      <c r="AJ887" s="127"/>
      <c r="AK887" s="127"/>
      <c r="AL887" s="129"/>
      <c r="AM887" s="129"/>
      <c r="AN887" s="44"/>
      <c r="AO887" s="44"/>
    </row>
    <row r="888" spans="2:41" ht="15.5">
      <c r="B888" s="125"/>
      <c r="C888" s="126"/>
      <c r="D888" s="126"/>
      <c r="E888" s="127"/>
      <c r="F888" s="128"/>
      <c r="G888" s="126"/>
      <c r="H888" s="127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5"/>
      <c r="X888" s="126"/>
      <c r="Y888" s="126"/>
      <c r="Z888" s="126"/>
      <c r="AA888" s="126"/>
      <c r="AB888" s="126"/>
      <c r="AC888" s="126"/>
      <c r="AD888" s="126"/>
      <c r="AE888" s="127"/>
      <c r="AF888" s="126"/>
      <c r="AG888" s="126"/>
      <c r="AH888" s="127"/>
      <c r="AI888" s="126"/>
      <c r="AJ888" s="127"/>
      <c r="AK888" s="127"/>
      <c r="AL888" s="129"/>
      <c r="AM888" s="129"/>
      <c r="AN888" s="44"/>
      <c r="AO888" s="44"/>
    </row>
    <row r="889" spans="2:41" ht="15.5">
      <c r="B889" s="125"/>
      <c r="C889" s="126"/>
      <c r="D889" s="126"/>
      <c r="E889" s="127"/>
      <c r="F889" s="128"/>
      <c r="G889" s="126"/>
      <c r="H889" s="127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5"/>
      <c r="X889" s="126"/>
      <c r="Y889" s="126"/>
      <c r="Z889" s="126"/>
      <c r="AA889" s="126"/>
      <c r="AB889" s="126"/>
      <c r="AC889" s="126"/>
      <c r="AD889" s="126"/>
      <c r="AE889" s="127"/>
      <c r="AF889" s="126"/>
      <c r="AG889" s="126"/>
      <c r="AH889" s="127"/>
      <c r="AI889" s="126"/>
      <c r="AJ889" s="127"/>
      <c r="AK889" s="127"/>
      <c r="AL889" s="129"/>
      <c r="AM889" s="129"/>
      <c r="AN889" s="44"/>
      <c r="AO889" s="44"/>
    </row>
    <row r="890" spans="2:41" ht="15.5">
      <c r="B890" s="125"/>
      <c r="C890" s="126"/>
      <c r="D890" s="126"/>
      <c r="E890" s="127"/>
      <c r="F890" s="128"/>
      <c r="G890" s="126"/>
      <c r="H890" s="127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5"/>
      <c r="X890" s="126"/>
      <c r="Y890" s="126"/>
      <c r="Z890" s="126"/>
      <c r="AA890" s="126"/>
      <c r="AB890" s="126"/>
      <c r="AC890" s="126"/>
      <c r="AD890" s="126"/>
      <c r="AE890" s="127"/>
      <c r="AF890" s="126"/>
      <c r="AG890" s="126"/>
      <c r="AH890" s="127"/>
      <c r="AI890" s="126"/>
      <c r="AJ890" s="127"/>
      <c r="AK890" s="127"/>
      <c r="AL890" s="129"/>
      <c r="AM890" s="129"/>
      <c r="AN890" s="44"/>
      <c r="AO890" s="44"/>
    </row>
    <row r="891" spans="2:41" ht="15.5">
      <c r="B891" s="125"/>
      <c r="C891" s="126"/>
      <c r="D891" s="126"/>
      <c r="E891" s="127"/>
      <c r="F891" s="128"/>
      <c r="G891" s="126"/>
      <c r="H891" s="127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5"/>
      <c r="X891" s="126"/>
      <c r="Y891" s="126"/>
      <c r="Z891" s="126"/>
      <c r="AA891" s="126"/>
      <c r="AB891" s="126"/>
      <c r="AC891" s="126"/>
      <c r="AD891" s="126"/>
      <c r="AE891" s="127"/>
      <c r="AF891" s="126"/>
      <c r="AG891" s="126"/>
      <c r="AH891" s="127"/>
      <c r="AI891" s="126"/>
      <c r="AJ891" s="127"/>
      <c r="AK891" s="127"/>
      <c r="AL891" s="129"/>
      <c r="AM891" s="129"/>
      <c r="AN891" s="44"/>
      <c r="AO891" s="44"/>
    </row>
    <row r="892" spans="2:41" ht="15.5">
      <c r="B892" s="125"/>
      <c r="C892" s="126"/>
      <c r="D892" s="126"/>
      <c r="E892" s="127"/>
      <c r="F892" s="128"/>
      <c r="G892" s="126"/>
      <c r="H892" s="127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5"/>
      <c r="X892" s="126"/>
      <c r="Y892" s="126"/>
      <c r="Z892" s="126"/>
      <c r="AA892" s="126"/>
      <c r="AB892" s="126"/>
      <c r="AC892" s="126"/>
      <c r="AD892" s="126"/>
      <c r="AE892" s="127"/>
      <c r="AF892" s="126"/>
      <c r="AG892" s="126"/>
      <c r="AH892" s="127"/>
      <c r="AI892" s="126"/>
      <c r="AJ892" s="127"/>
      <c r="AK892" s="127"/>
      <c r="AL892" s="129"/>
      <c r="AM892" s="129"/>
      <c r="AN892" s="44"/>
      <c r="AO892" s="44"/>
    </row>
    <row r="893" spans="2:41" ht="15.5">
      <c r="B893" s="125"/>
      <c r="C893" s="126"/>
      <c r="D893" s="126"/>
      <c r="E893" s="127"/>
      <c r="F893" s="128"/>
      <c r="G893" s="126"/>
      <c r="H893" s="127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5"/>
      <c r="X893" s="126"/>
      <c r="Y893" s="126"/>
      <c r="Z893" s="126"/>
      <c r="AA893" s="126"/>
      <c r="AB893" s="126"/>
      <c r="AC893" s="126"/>
      <c r="AD893" s="126"/>
      <c r="AE893" s="127"/>
      <c r="AF893" s="126"/>
      <c r="AG893" s="126"/>
      <c r="AH893" s="127"/>
      <c r="AI893" s="126"/>
      <c r="AJ893" s="127"/>
      <c r="AK893" s="127"/>
      <c r="AL893" s="129"/>
      <c r="AM893" s="129"/>
      <c r="AN893" s="44"/>
      <c r="AO893" s="44"/>
    </row>
    <row r="894" spans="2:41" ht="15.5">
      <c r="B894" s="125"/>
      <c r="C894" s="126"/>
      <c r="D894" s="126"/>
      <c r="E894" s="127"/>
      <c r="F894" s="128"/>
      <c r="G894" s="126"/>
      <c r="H894" s="127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5"/>
      <c r="X894" s="126"/>
      <c r="Y894" s="126"/>
      <c r="Z894" s="126"/>
      <c r="AA894" s="126"/>
      <c r="AB894" s="126"/>
      <c r="AC894" s="126"/>
      <c r="AD894" s="126"/>
      <c r="AE894" s="127"/>
      <c r="AF894" s="126"/>
      <c r="AG894" s="126"/>
      <c r="AH894" s="127"/>
      <c r="AI894" s="126"/>
      <c r="AJ894" s="127"/>
      <c r="AK894" s="127"/>
      <c r="AL894" s="129"/>
      <c r="AM894" s="129"/>
      <c r="AN894" s="44"/>
      <c r="AO894" s="44"/>
    </row>
    <row r="895" spans="2:41" ht="15.5">
      <c r="B895" s="125"/>
      <c r="C895" s="126"/>
      <c r="D895" s="126"/>
      <c r="E895" s="127"/>
      <c r="F895" s="128"/>
      <c r="G895" s="126"/>
      <c r="H895" s="127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5"/>
      <c r="X895" s="126"/>
      <c r="Y895" s="126"/>
      <c r="Z895" s="126"/>
      <c r="AA895" s="126"/>
      <c r="AB895" s="126"/>
      <c r="AC895" s="126"/>
      <c r="AD895" s="126"/>
      <c r="AE895" s="127"/>
      <c r="AF895" s="126"/>
      <c r="AG895" s="126"/>
      <c r="AH895" s="127"/>
      <c r="AI895" s="126"/>
      <c r="AJ895" s="127"/>
      <c r="AK895" s="127"/>
      <c r="AL895" s="129"/>
      <c r="AM895" s="129"/>
      <c r="AN895" s="44"/>
      <c r="AO895" s="44"/>
    </row>
    <row r="896" spans="2:41" ht="15.5">
      <c r="B896" s="125"/>
      <c r="C896" s="126"/>
      <c r="D896" s="126"/>
      <c r="E896" s="127"/>
      <c r="F896" s="128"/>
      <c r="G896" s="126"/>
      <c r="H896" s="127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5"/>
      <c r="X896" s="126"/>
      <c r="Y896" s="126"/>
      <c r="Z896" s="126"/>
      <c r="AA896" s="126"/>
      <c r="AB896" s="126"/>
      <c r="AC896" s="126"/>
      <c r="AD896" s="126"/>
      <c r="AE896" s="127"/>
      <c r="AF896" s="126"/>
      <c r="AG896" s="126"/>
      <c r="AH896" s="127"/>
      <c r="AI896" s="126"/>
      <c r="AJ896" s="127"/>
      <c r="AK896" s="127"/>
      <c r="AL896" s="129"/>
      <c r="AM896" s="129"/>
      <c r="AN896" s="44"/>
      <c r="AO896" s="44"/>
    </row>
    <row r="897" spans="2:41" ht="15.5">
      <c r="B897" s="125"/>
      <c r="C897" s="126"/>
      <c r="D897" s="126"/>
      <c r="E897" s="127"/>
      <c r="F897" s="128"/>
      <c r="G897" s="126"/>
      <c r="H897" s="127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5"/>
      <c r="X897" s="126"/>
      <c r="Y897" s="126"/>
      <c r="Z897" s="126"/>
      <c r="AA897" s="126"/>
      <c r="AB897" s="126"/>
      <c r="AC897" s="126"/>
      <c r="AD897" s="126"/>
      <c r="AE897" s="127"/>
      <c r="AF897" s="126"/>
      <c r="AG897" s="126"/>
      <c r="AH897" s="127"/>
      <c r="AI897" s="126"/>
      <c r="AJ897" s="127"/>
      <c r="AK897" s="127"/>
      <c r="AL897" s="129"/>
      <c r="AM897" s="129"/>
      <c r="AN897" s="44"/>
      <c r="AO897" s="44"/>
    </row>
    <row r="898" spans="2:41" ht="15.5">
      <c r="B898" s="125"/>
      <c r="C898" s="126"/>
      <c r="D898" s="126"/>
      <c r="E898" s="127"/>
      <c r="F898" s="128"/>
      <c r="G898" s="126"/>
      <c r="H898" s="127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5"/>
      <c r="X898" s="126"/>
      <c r="Y898" s="126"/>
      <c r="Z898" s="126"/>
      <c r="AA898" s="126"/>
      <c r="AB898" s="126"/>
      <c r="AC898" s="126"/>
      <c r="AD898" s="126"/>
      <c r="AE898" s="127"/>
      <c r="AF898" s="126"/>
      <c r="AG898" s="126"/>
      <c r="AH898" s="127"/>
      <c r="AI898" s="126"/>
      <c r="AJ898" s="127"/>
      <c r="AK898" s="127"/>
      <c r="AL898" s="129"/>
      <c r="AM898" s="129"/>
      <c r="AN898" s="44"/>
      <c r="AO898" s="44"/>
    </row>
    <row r="899" spans="2:41" ht="15.5">
      <c r="B899" s="125"/>
      <c r="C899" s="126"/>
      <c r="D899" s="126"/>
      <c r="E899" s="127"/>
      <c r="F899" s="128"/>
      <c r="G899" s="126"/>
      <c r="H899" s="127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5"/>
      <c r="X899" s="126"/>
      <c r="Y899" s="126"/>
      <c r="Z899" s="126"/>
      <c r="AA899" s="126"/>
      <c r="AB899" s="126"/>
      <c r="AC899" s="126"/>
      <c r="AD899" s="126"/>
      <c r="AE899" s="127"/>
      <c r="AF899" s="126"/>
      <c r="AG899" s="126"/>
      <c r="AH899" s="127"/>
      <c r="AI899" s="126"/>
      <c r="AJ899" s="127"/>
      <c r="AK899" s="127"/>
      <c r="AL899" s="129"/>
      <c r="AM899" s="129"/>
      <c r="AN899" s="44"/>
      <c r="AO899" s="44"/>
    </row>
    <row r="900" spans="2:41" ht="15.5">
      <c r="B900" s="125"/>
      <c r="C900" s="126"/>
      <c r="D900" s="126"/>
      <c r="E900" s="127"/>
      <c r="F900" s="128"/>
      <c r="G900" s="126"/>
      <c r="H900" s="127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5"/>
      <c r="X900" s="126"/>
      <c r="Y900" s="126"/>
      <c r="Z900" s="126"/>
      <c r="AA900" s="126"/>
      <c r="AB900" s="126"/>
      <c r="AC900" s="126"/>
      <c r="AD900" s="126"/>
      <c r="AE900" s="127"/>
      <c r="AF900" s="126"/>
      <c r="AG900" s="126"/>
      <c r="AH900" s="127"/>
      <c r="AI900" s="126"/>
      <c r="AJ900" s="127"/>
      <c r="AK900" s="127"/>
      <c r="AL900" s="129"/>
      <c r="AM900" s="129"/>
      <c r="AN900" s="44"/>
      <c r="AO900" s="44"/>
    </row>
    <row r="901" spans="2:41" ht="15.5">
      <c r="B901" s="125"/>
      <c r="C901" s="126"/>
      <c r="D901" s="126"/>
      <c r="E901" s="127"/>
      <c r="F901" s="128"/>
      <c r="G901" s="126"/>
      <c r="H901" s="127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5"/>
      <c r="X901" s="126"/>
      <c r="Y901" s="126"/>
      <c r="Z901" s="126"/>
      <c r="AA901" s="126"/>
      <c r="AB901" s="126"/>
      <c r="AC901" s="126"/>
      <c r="AD901" s="126"/>
      <c r="AE901" s="127"/>
      <c r="AF901" s="126"/>
      <c r="AG901" s="126"/>
      <c r="AH901" s="127"/>
      <c r="AI901" s="126"/>
      <c r="AJ901" s="127"/>
      <c r="AK901" s="127"/>
      <c r="AL901" s="129"/>
      <c r="AM901" s="129"/>
      <c r="AN901" s="44"/>
      <c r="AO901" s="44"/>
    </row>
    <row r="902" spans="2:41" ht="15.5">
      <c r="B902" s="125"/>
      <c r="C902" s="126"/>
      <c r="D902" s="126"/>
      <c r="E902" s="127"/>
      <c r="F902" s="128"/>
      <c r="G902" s="126"/>
      <c r="H902" s="127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5"/>
      <c r="X902" s="126"/>
      <c r="Y902" s="126"/>
      <c r="Z902" s="126"/>
      <c r="AA902" s="126"/>
      <c r="AB902" s="126"/>
      <c r="AC902" s="126"/>
      <c r="AD902" s="126"/>
      <c r="AE902" s="127"/>
      <c r="AF902" s="126"/>
      <c r="AG902" s="126"/>
      <c r="AH902" s="127"/>
      <c r="AI902" s="126"/>
      <c r="AJ902" s="127"/>
      <c r="AK902" s="127"/>
      <c r="AL902" s="129"/>
      <c r="AM902" s="129"/>
      <c r="AN902" s="44"/>
      <c r="AO902" s="44"/>
    </row>
    <row r="903" spans="2:41" ht="15.5">
      <c r="B903" s="125"/>
      <c r="C903" s="126"/>
      <c r="D903" s="126"/>
      <c r="E903" s="127"/>
      <c r="F903" s="128"/>
      <c r="G903" s="126"/>
      <c r="H903" s="127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5"/>
      <c r="X903" s="126"/>
      <c r="Y903" s="126"/>
      <c r="Z903" s="126"/>
      <c r="AA903" s="126"/>
      <c r="AB903" s="126"/>
      <c r="AC903" s="126"/>
      <c r="AD903" s="126"/>
      <c r="AE903" s="127"/>
      <c r="AF903" s="126"/>
      <c r="AG903" s="126"/>
      <c r="AH903" s="127"/>
      <c r="AI903" s="126"/>
      <c r="AJ903" s="127"/>
      <c r="AK903" s="127"/>
      <c r="AL903" s="129"/>
      <c r="AM903" s="129"/>
      <c r="AN903" s="44"/>
      <c r="AO903" s="44"/>
    </row>
    <row r="904" spans="2:41" ht="15.5">
      <c r="B904" s="125"/>
      <c r="C904" s="126"/>
      <c r="D904" s="126"/>
      <c r="E904" s="127"/>
      <c r="F904" s="128"/>
      <c r="G904" s="126"/>
      <c r="H904" s="127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5"/>
      <c r="X904" s="126"/>
      <c r="Y904" s="126"/>
      <c r="Z904" s="126"/>
      <c r="AA904" s="126"/>
      <c r="AB904" s="126"/>
      <c r="AC904" s="126"/>
      <c r="AD904" s="126"/>
      <c r="AE904" s="127"/>
      <c r="AF904" s="126"/>
      <c r="AG904" s="126"/>
      <c r="AH904" s="127"/>
      <c r="AI904" s="126"/>
      <c r="AJ904" s="127"/>
      <c r="AK904" s="127"/>
      <c r="AL904" s="129"/>
      <c r="AM904" s="129"/>
      <c r="AN904" s="44"/>
      <c r="AO904" s="44"/>
    </row>
    <row r="905" spans="2:41" ht="15.5">
      <c r="B905" s="125"/>
      <c r="C905" s="126"/>
      <c r="D905" s="126"/>
      <c r="E905" s="127"/>
      <c r="F905" s="128"/>
      <c r="G905" s="126"/>
      <c r="H905" s="127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5"/>
      <c r="X905" s="126"/>
      <c r="Y905" s="126"/>
      <c r="Z905" s="126"/>
      <c r="AA905" s="126"/>
      <c r="AB905" s="126"/>
      <c r="AC905" s="126"/>
      <c r="AD905" s="126"/>
      <c r="AE905" s="127"/>
      <c r="AF905" s="126"/>
      <c r="AG905" s="126"/>
      <c r="AH905" s="127"/>
      <c r="AI905" s="126"/>
      <c r="AJ905" s="127"/>
      <c r="AK905" s="127"/>
      <c r="AL905" s="129"/>
      <c r="AM905" s="129"/>
      <c r="AN905" s="44"/>
      <c r="AO905" s="44"/>
    </row>
    <row r="906" spans="2:41" ht="15.5">
      <c r="B906" s="125"/>
      <c r="C906" s="126"/>
      <c r="D906" s="126"/>
      <c r="E906" s="127"/>
      <c r="F906" s="128"/>
      <c r="G906" s="126"/>
      <c r="H906" s="127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5"/>
      <c r="X906" s="126"/>
      <c r="Y906" s="126"/>
      <c r="Z906" s="126"/>
      <c r="AA906" s="126"/>
      <c r="AB906" s="126"/>
      <c r="AC906" s="126"/>
      <c r="AD906" s="126"/>
      <c r="AE906" s="127"/>
      <c r="AF906" s="126"/>
      <c r="AG906" s="126"/>
      <c r="AH906" s="127"/>
      <c r="AI906" s="126"/>
      <c r="AJ906" s="127"/>
      <c r="AK906" s="127"/>
      <c r="AL906" s="129"/>
      <c r="AM906" s="129"/>
      <c r="AN906" s="44"/>
      <c r="AO906" s="44"/>
    </row>
    <row r="907" spans="2:41" ht="15.5">
      <c r="B907" s="125"/>
      <c r="C907" s="126"/>
      <c r="D907" s="126"/>
      <c r="E907" s="127"/>
      <c r="F907" s="128"/>
      <c r="G907" s="126"/>
      <c r="H907" s="127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5"/>
      <c r="X907" s="126"/>
      <c r="Y907" s="126"/>
      <c r="Z907" s="126"/>
      <c r="AA907" s="126"/>
      <c r="AB907" s="126"/>
      <c r="AC907" s="126"/>
      <c r="AD907" s="126"/>
      <c r="AE907" s="127"/>
      <c r="AF907" s="126"/>
      <c r="AG907" s="126"/>
      <c r="AH907" s="127"/>
      <c r="AI907" s="126"/>
      <c r="AJ907" s="127"/>
      <c r="AK907" s="127"/>
      <c r="AL907" s="129"/>
      <c r="AM907" s="129"/>
      <c r="AN907" s="44"/>
      <c r="AO907" s="44"/>
    </row>
    <row r="908" spans="2:41" ht="15.5">
      <c r="B908" s="125"/>
      <c r="C908" s="126"/>
      <c r="D908" s="126"/>
      <c r="E908" s="127"/>
      <c r="F908" s="128"/>
      <c r="G908" s="126"/>
      <c r="H908" s="127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5"/>
      <c r="X908" s="126"/>
      <c r="Y908" s="126"/>
      <c r="Z908" s="126"/>
      <c r="AA908" s="126"/>
      <c r="AB908" s="126"/>
      <c r="AC908" s="126"/>
      <c r="AD908" s="126"/>
      <c r="AE908" s="127"/>
      <c r="AF908" s="126"/>
      <c r="AG908" s="126"/>
      <c r="AH908" s="127"/>
      <c r="AI908" s="126"/>
      <c r="AJ908" s="127"/>
      <c r="AK908" s="127"/>
      <c r="AL908" s="129"/>
      <c r="AM908" s="129"/>
      <c r="AN908" s="44"/>
      <c r="AO908" s="44"/>
    </row>
    <row r="909" spans="2:41" ht="15.5">
      <c r="B909" s="125"/>
      <c r="C909" s="126"/>
      <c r="D909" s="126"/>
      <c r="E909" s="127"/>
      <c r="F909" s="128"/>
      <c r="G909" s="126"/>
      <c r="H909" s="127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5"/>
      <c r="X909" s="126"/>
      <c r="Y909" s="126"/>
      <c r="Z909" s="126"/>
      <c r="AA909" s="126"/>
      <c r="AB909" s="126"/>
      <c r="AC909" s="126"/>
      <c r="AD909" s="126"/>
      <c r="AE909" s="127"/>
      <c r="AF909" s="126"/>
      <c r="AG909" s="126"/>
      <c r="AH909" s="127"/>
      <c r="AI909" s="126"/>
      <c r="AJ909" s="127"/>
      <c r="AK909" s="127"/>
      <c r="AL909" s="129"/>
      <c r="AM909" s="129"/>
      <c r="AN909" s="44"/>
      <c r="AO909" s="44"/>
    </row>
    <row r="910" spans="2:41" ht="15.5">
      <c r="B910" s="125"/>
      <c r="C910" s="126"/>
      <c r="D910" s="126"/>
      <c r="E910" s="127"/>
      <c r="F910" s="128"/>
      <c r="G910" s="126"/>
      <c r="H910" s="127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5"/>
      <c r="X910" s="126"/>
      <c r="Y910" s="126"/>
      <c r="Z910" s="126"/>
      <c r="AA910" s="126"/>
      <c r="AB910" s="126"/>
      <c r="AC910" s="126"/>
      <c r="AD910" s="126"/>
      <c r="AE910" s="127"/>
      <c r="AF910" s="126"/>
      <c r="AG910" s="126"/>
      <c r="AH910" s="127"/>
      <c r="AI910" s="126"/>
      <c r="AJ910" s="127"/>
      <c r="AK910" s="127"/>
      <c r="AL910" s="129"/>
      <c r="AM910" s="129"/>
      <c r="AN910" s="44"/>
      <c r="AO910" s="44"/>
    </row>
    <row r="911" spans="2:41" ht="15.5">
      <c r="B911" s="125"/>
      <c r="C911" s="126"/>
      <c r="D911" s="126"/>
      <c r="E911" s="127"/>
      <c r="F911" s="128"/>
      <c r="G911" s="126"/>
      <c r="H911" s="127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5"/>
      <c r="X911" s="126"/>
      <c r="Y911" s="126"/>
      <c r="Z911" s="126"/>
      <c r="AA911" s="126"/>
      <c r="AB911" s="126"/>
      <c r="AC911" s="126"/>
      <c r="AD911" s="126"/>
      <c r="AE911" s="127"/>
      <c r="AF911" s="126"/>
      <c r="AG911" s="126"/>
      <c r="AH911" s="127"/>
      <c r="AI911" s="126"/>
      <c r="AJ911" s="127"/>
      <c r="AK911" s="127"/>
      <c r="AL911" s="129"/>
      <c r="AM911" s="129"/>
      <c r="AN911" s="44"/>
      <c r="AO911" s="44"/>
    </row>
    <row r="912" spans="2:41" ht="15.5">
      <c r="B912" s="125"/>
      <c r="C912" s="126"/>
      <c r="D912" s="126"/>
      <c r="E912" s="127"/>
      <c r="F912" s="128"/>
      <c r="G912" s="126"/>
      <c r="H912" s="127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5"/>
      <c r="X912" s="126"/>
      <c r="Y912" s="126"/>
      <c r="Z912" s="126"/>
      <c r="AA912" s="126"/>
      <c r="AB912" s="126"/>
      <c r="AC912" s="126"/>
      <c r="AD912" s="126"/>
      <c r="AE912" s="127"/>
      <c r="AF912" s="126"/>
      <c r="AG912" s="126"/>
      <c r="AH912" s="127"/>
      <c r="AI912" s="126"/>
      <c r="AJ912" s="127"/>
      <c r="AK912" s="127"/>
      <c r="AL912" s="129"/>
      <c r="AM912" s="129"/>
      <c r="AN912" s="44"/>
      <c r="AO912" s="44"/>
    </row>
    <row r="913" spans="2:41" ht="15.5">
      <c r="B913" s="125"/>
      <c r="C913" s="126"/>
      <c r="D913" s="126"/>
      <c r="E913" s="127"/>
      <c r="F913" s="128"/>
      <c r="G913" s="126"/>
      <c r="H913" s="127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5"/>
      <c r="X913" s="126"/>
      <c r="Y913" s="126"/>
      <c r="Z913" s="126"/>
      <c r="AA913" s="126"/>
      <c r="AB913" s="126"/>
      <c r="AC913" s="126"/>
      <c r="AD913" s="126"/>
      <c r="AE913" s="127"/>
      <c r="AF913" s="126"/>
      <c r="AG913" s="126"/>
      <c r="AH913" s="127"/>
      <c r="AI913" s="126"/>
      <c r="AJ913" s="127"/>
      <c r="AK913" s="127"/>
      <c r="AL913" s="129"/>
      <c r="AM913" s="129"/>
      <c r="AN913" s="44"/>
      <c r="AO913" s="44"/>
    </row>
    <row r="914" spans="2:41" ht="15.5">
      <c r="B914" s="125"/>
      <c r="C914" s="126"/>
      <c r="D914" s="126"/>
      <c r="E914" s="127"/>
      <c r="F914" s="128"/>
      <c r="G914" s="126"/>
      <c r="H914" s="127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5"/>
      <c r="X914" s="126"/>
      <c r="Y914" s="126"/>
      <c r="Z914" s="126"/>
      <c r="AA914" s="126"/>
      <c r="AB914" s="126"/>
      <c r="AC914" s="126"/>
      <c r="AD914" s="126"/>
      <c r="AE914" s="127"/>
      <c r="AF914" s="126"/>
      <c r="AG914" s="126"/>
      <c r="AH914" s="127"/>
      <c r="AI914" s="126"/>
      <c r="AJ914" s="127"/>
      <c r="AK914" s="127"/>
      <c r="AL914" s="129"/>
      <c r="AM914" s="129"/>
      <c r="AN914" s="44"/>
      <c r="AO914" s="44"/>
    </row>
    <row r="915" spans="2:41" ht="15.5">
      <c r="B915" s="125"/>
      <c r="C915" s="126"/>
      <c r="D915" s="126"/>
      <c r="E915" s="127"/>
      <c r="F915" s="128"/>
      <c r="G915" s="126"/>
      <c r="H915" s="127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5"/>
      <c r="X915" s="126"/>
      <c r="Y915" s="126"/>
      <c r="Z915" s="126"/>
      <c r="AA915" s="126"/>
      <c r="AB915" s="126"/>
      <c r="AC915" s="126"/>
      <c r="AD915" s="126"/>
      <c r="AE915" s="127"/>
      <c r="AF915" s="126"/>
      <c r="AG915" s="126"/>
      <c r="AH915" s="127"/>
      <c r="AI915" s="126"/>
      <c r="AJ915" s="127"/>
      <c r="AK915" s="127"/>
      <c r="AL915" s="129"/>
      <c r="AM915" s="129"/>
      <c r="AN915" s="44"/>
      <c r="AO915" s="44"/>
    </row>
    <row r="916" spans="2:41" ht="15.5">
      <c r="B916" s="125"/>
      <c r="C916" s="126"/>
      <c r="D916" s="126"/>
      <c r="E916" s="127"/>
      <c r="F916" s="128"/>
      <c r="G916" s="126"/>
      <c r="H916" s="127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5"/>
      <c r="X916" s="126"/>
      <c r="Y916" s="126"/>
      <c r="Z916" s="126"/>
      <c r="AA916" s="126"/>
      <c r="AB916" s="126"/>
      <c r="AC916" s="126"/>
      <c r="AD916" s="126"/>
      <c r="AE916" s="127"/>
      <c r="AF916" s="126"/>
      <c r="AG916" s="126"/>
      <c r="AH916" s="127"/>
      <c r="AI916" s="126"/>
      <c r="AJ916" s="127"/>
      <c r="AK916" s="127"/>
      <c r="AL916" s="129"/>
      <c r="AM916" s="129"/>
      <c r="AN916" s="44"/>
      <c r="AO916" s="44"/>
    </row>
    <row r="917" spans="2:41" ht="15.5">
      <c r="B917" s="125"/>
      <c r="C917" s="126"/>
      <c r="D917" s="126"/>
      <c r="E917" s="127"/>
      <c r="F917" s="128"/>
      <c r="G917" s="126"/>
      <c r="H917" s="127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5"/>
      <c r="X917" s="126"/>
      <c r="Y917" s="126"/>
      <c r="Z917" s="126"/>
      <c r="AA917" s="126"/>
      <c r="AB917" s="126"/>
      <c r="AC917" s="126"/>
      <c r="AD917" s="126"/>
      <c r="AE917" s="127"/>
      <c r="AF917" s="126"/>
      <c r="AG917" s="126"/>
      <c r="AH917" s="127"/>
      <c r="AI917" s="126"/>
      <c r="AJ917" s="127"/>
      <c r="AK917" s="127"/>
      <c r="AL917" s="129"/>
      <c r="AM917" s="129"/>
      <c r="AN917" s="44"/>
      <c r="AO917" s="44"/>
    </row>
    <row r="918" spans="2:41" ht="15.5">
      <c r="B918" s="125"/>
      <c r="C918" s="126"/>
      <c r="D918" s="126"/>
      <c r="E918" s="127"/>
      <c r="F918" s="128"/>
      <c r="G918" s="126"/>
      <c r="H918" s="127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5"/>
      <c r="X918" s="126"/>
      <c r="Y918" s="126"/>
      <c r="Z918" s="126"/>
      <c r="AA918" s="126"/>
      <c r="AB918" s="126"/>
      <c r="AC918" s="126"/>
      <c r="AD918" s="126"/>
      <c r="AE918" s="127"/>
      <c r="AF918" s="126"/>
      <c r="AG918" s="126"/>
      <c r="AH918" s="127"/>
      <c r="AI918" s="126"/>
      <c r="AJ918" s="127"/>
      <c r="AK918" s="127"/>
      <c r="AL918" s="129"/>
      <c r="AM918" s="129"/>
      <c r="AN918" s="44"/>
      <c r="AO918" s="44"/>
    </row>
    <row r="919" spans="2:41" ht="15.5">
      <c r="B919" s="125"/>
      <c r="C919" s="126"/>
      <c r="D919" s="126"/>
      <c r="E919" s="127"/>
      <c r="F919" s="128"/>
      <c r="G919" s="126"/>
      <c r="H919" s="127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5"/>
      <c r="X919" s="126"/>
      <c r="Y919" s="126"/>
      <c r="Z919" s="126"/>
      <c r="AA919" s="126"/>
      <c r="AB919" s="126"/>
      <c r="AC919" s="126"/>
      <c r="AD919" s="126"/>
      <c r="AE919" s="127"/>
      <c r="AF919" s="126"/>
      <c r="AG919" s="126"/>
      <c r="AH919" s="127"/>
      <c r="AI919" s="126"/>
      <c r="AJ919" s="127"/>
      <c r="AK919" s="127"/>
      <c r="AL919" s="129"/>
      <c r="AM919" s="129"/>
      <c r="AN919" s="44"/>
      <c r="AO919" s="44"/>
    </row>
    <row r="920" spans="2:41" ht="15.5">
      <c r="B920" s="125"/>
      <c r="C920" s="126"/>
      <c r="D920" s="126"/>
      <c r="E920" s="127"/>
      <c r="F920" s="128"/>
      <c r="G920" s="126"/>
      <c r="H920" s="127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5"/>
      <c r="X920" s="126"/>
      <c r="Y920" s="126"/>
      <c r="Z920" s="126"/>
      <c r="AA920" s="126"/>
      <c r="AB920" s="126"/>
      <c r="AC920" s="126"/>
      <c r="AD920" s="126"/>
      <c r="AE920" s="127"/>
      <c r="AF920" s="126"/>
      <c r="AG920" s="126"/>
      <c r="AH920" s="127"/>
      <c r="AI920" s="126"/>
      <c r="AJ920" s="127"/>
      <c r="AK920" s="127"/>
      <c r="AL920" s="129"/>
      <c r="AM920" s="129"/>
      <c r="AN920" s="44"/>
      <c r="AO920" s="44"/>
    </row>
    <row r="921" spans="2:41" ht="15.5">
      <c r="B921" s="125"/>
      <c r="C921" s="126"/>
      <c r="D921" s="126"/>
      <c r="E921" s="127"/>
      <c r="F921" s="128"/>
      <c r="G921" s="126"/>
      <c r="H921" s="127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5"/>
      <c r="X921" s="126"/>
      <c r="Y921" s="126"/>
      <c r="Z921" s="126"/>
      <c r="AA921" s="126"/>
      <c r="AB921" s="126"/>
      <c r="AC921" s="126"/>
      <c r="AD921" s="126"/>
      <c r="AE921" s="127"/>
      <c r="AF921" s="126"/>
      <c r="AG921" s="126"/>
      <c r="AH921" s="127"/>
      <c r="AI921" s="126"/>
      <c r="AJ921" s="127"/>
      <c r="AK921" s="127"/>
      <c r="AL921" s="129"/>
      <c r="AM921" s="129"/>
      <c r="AN921" s="44"/>
      <c r="AO921" s="44"/>
    </row>
    <row r="922" spans="2:41" ht="15.5">
      <c r="B922" s="125"/>
      <c r="C922" s="126"/>
      <c r="D922" s="126"/>
      <c r="E922" s="127"/>
      <c r="F922" s="128"/>
      <c r="G922" s="126"/>
      <c r="H922" s="127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5"/>
      <c r="X922" s="126"/>
      <c r="Y922" s="126"/>
      <c r="Z922" s="126"/>
      <c r="AA922" s="126"/>
      <c r="AB922" s="126"/>
      <c r="AC922" s="126"/>
      <c r="AD922" s="126"/>
      <c r="AE922" s="127"/>
      <c r="AF922" s="126"/>
      <c r="AG922" s="126"/>
      <c r="AH922" s="127"/>
      <c r="AI922" s="126"/>
      <c r="AJ922" s="127"/>
      <c r="AK922" s="127"/>
      <c r="AL922" s="129"/>
      <c r="AM922" s="129"/>
      <c r="AN922" s="44"/>
      <c r="AO922" s="44"/>
    </row>
    <row r="923" spans="2:41" ht="15.5">
      <c r="B923" s="125"/>
      <c r="C923" s="126"/>
      <c r="D923" s="126"/>
      <c r="E923" s="127"/>
      <c r="F923" s="128"/>
      <c r="G923" s="126"/>
      <c r="H923" s="127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5"/>
      <c r="X923" s="126"/>
      <c r="Y923" s="126"/>
      <c r="Z923" s="126"/>
      <c r="AA923" s="126"/>
      <c r="AB923" s="126"/>
      <c r="AC923" s="126"/>
      <c r="AD923" s="126"/>
      <c r="AE923" s="127"/>
      <c r="AF923" s="126"/>
      <c r="AG923" s="126"/>
      <c r="AH923" s="127"/>
      <c r="AI923" s="126"/>
      <c r="AJ923" s="127"/>
      <c r="AK923" s="127"/>
      <c r="AL923" s="129"/>
      <c r="AM923" s="129"/>
      <c r="AN923" s="44"/>
      <c r="AO923" s="44"/>
    </row>
    <row r="924" spans="2:41" ht="15.5">
      <c r="B924" s="125"/>
      <c r="C924" s="126"/>
      <c r="D924" s="126"/>
      <c r="E924" s="127"/>
      <c r="F924" s="128"/>
      <c r="G924" s="126"/>
      <c r="H924" s="127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5"/>
      <c r="X924" s="126"/>
      <c r="Y924" s="126"/>
      <c r="Z924" s="126"/>
      <c r="AA924" s="126"/>
      <c r="AB924" s="126"/>
      <c r="AC924" s="126"/>
      <c r="AD924" s="126"/>
      <c r="AE924" s="127"/>
      <c r="AF924" s="126"/>
      <c r="AG924" s="126"/>
      <c r="AH924" s="127"/>
      <c r="AI924" s="126"/>
      <c r="AJ924" s="127"/>
      <c r="AK924" s="127"/>
      <c r="AL924" s="129"/>
      <c r="AM924" s="129"/>
      <c r="AN924" s="44"/>
      <c r="AO924" s="44"/>
    </row>
    <row r="925" spans="2:41" ht="15.5">
      <c r="B925" s="125"/>
      <c r="C925" s="126"/>
      <c r="D925" s="126"/>
      <c r="E925" s="127"/>
      <c r="F925" s="128"/>
      <c r="G925" s="126"/>
      <c r="H925" s="127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5"/>
      <c r="X925" s="126"/>
      <c r="Y925" s="126"/>
      <c r="Z925" s="126"/>
      <c r="AA925" s="126"/>
      <c r="AB925" s="126"/>
      <c r="AC925" s="126"/>
      <c r="AD925" s="126"/>
      <c r="AE925" s="127"/>
      <c r="AF925" s="126"/>
      <c r="AG925" s="126"/>
      <c r="AH925" s="127"/>
      <c r="AI925" s="126"/>
      <c r="AJ925" s="127"/>
      <c r="AK925" s="127"/>
      <c r="AL925" s="129"/>
      <c r="AM925" s="129"/>
      <c r="AN925" s="44"/>
      <c r="AO925" s="44"/>
    </row>
    <row r="926" spans="2:41" ht="15.5">
      <c r="B926" s="125"/>
      <c r="C926" s="126"/>
      <c r="D926" s="126"/>
      <c r="E926" s="127"/>
      <c r="F926" s="128"/>
      <c r="G926" s="126"/>
      <c r="H926" s="127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5"/>
      <c r="X926" s="126"/>
      <c r="Y926" s="126"/>
      <c r="Z926" s="126"/>
      <c r="AA926" s="126"/>
      <c r="AB926" s="126"/>
      <c r="AC926" s="126"/>
      <c r="AD926" s="126"/>
      <c r="AE926" s="127"/>
      <c r="AF926" s="126"/>
      <c r="AG926" s="126"/>
      <c r="AH926" s="127"/>
      <c r="AI926" s="126"/>
      <c r="AJ926" s="127"/>
      <c r="AK926" s="127"/>
      <c r="AL926" s="129"/>
      <c r="AM926" s="129"/>
      <c r="AN926" s="44"/>
      <c r="AO926" s="44"/>
    </row>
    <row r="927" spans="2:41" ht="15.5">
      <c r="B927" s="125"/>
      <c r="C927" s="126"/>
      <c r="D927" s="126"/>
      <c r="E927" s="127"/>
      <c r="F927" s="128"/>
      <c r="G927" s="126"/>
      <c r="H927" s="127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5"/>
      <c r="X927" s="126"/>
      <c r="Y927" s="126"/>
      <c r="Z927" s="126"/>
      <c r="AA927" s="126"/>
      <c r="AB927" s="126"/>
      <c r="AC927" s="126"/>
      <c r="AD927" s="126"/>
      <c r="AE927" s="127"/>
      <c r="AF927" s="126"/>
      <c r="AG927" s="126"/>
      <c r="AH927" s="127"/>
      <c r="AI927" s="126"/>
      <c r="AJ927" s="127"/>
      <c r="AK927" s="127"/>
      <c r="AL927" s="129"/>
      <c r="AM927" s="129"/>
      <c r="AN927" s="44"/>
      <c r="AO927" s="44"/>
    </row>
    <row r="928" spans="2:41" ht="15.5">
      <c r="B928" s="125"/>
      <c r="C928" s="126"/>
      <c r="D928" s="126"/>
      <c r="E928" s="127"/>
      <c r="F928" s="128"/>
      <c r="G928" s="126"/>
      <c r="H928" s="127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5"/>
      <c r="X928" s="126"/>
      <c r="Y928" s="126"/>
      <c r="Z928" s="126"/>
      <c r="AA928" s="126"/>
      <c r="AB928" s="126"/>
      <c r="AC928" s="126"/>
      <c r="AD928" s="126"/>
      <c r="AE928" s="127"/>
      <c r="AF928" s="126"/>
      <c r="AG928" s="126"/>
      <c r="AH928" s="127"/>
      <c r="AI928" s="126"/>
      <c r="AJ928" s="127"/>
      <c r="AK928" s="127"/>
      <c r="AL928" s="129"/>
      <c r="AM928" s="129"/>
      <c r="AN928" s="44"/>
      <c r="AO928" s="44"/>
    </row>
    <row r="929" spans="2:41" ht="15.5">
      <c r="B929" s="125"/>
      <c r="C929" s="126"/>
      <c r="D929" s="126"/>
      <c r="E929" s="127"/>
      <c r="F929" s="128"/>
      <c r="G929" s="126"/>
      <c r="H929" s="127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5"/>
      <c r="X929" s="126"/>
      <c r="Y929" s="126"/>
      <c r="Z929" s="126"/>
      <c r="AA929" s="126"/>
      <c r="AB929" s="126"/>
      <c r="AC929" s="126"/>
      <c r="AD929" s="126"/>
      <c r="AE929" s="127"/>
      <c r="AF929" s="126"/>
      <c r="AG929" s="126"/>
      <c r="AH929" s="127"/>
      <c r="AI929" s="126"/>
      <c r="AJ929" s="127"/>
      <c r="AK929" s="127"/>
      <c r="AL929" s="129"/>
      <c r="AM929" s="129"/>
      <c r="AN929" s="44"/>
      <c r="AO929" s="44"/>
    </row>
    <row r="930" spans="2:41" ht="15.5">
      <c r="B930" s="125"/>
      <c r="C930" s="126"/>
      <c r="D930" s="126"/>
      <c r="E930" s="127"/>
      <c r="F930" s="128"/>
      <c r="G930" s="126"/>
      <c r="H930" s="127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5"/>
      <c r="X930" s="126"/>
      <c r="Y930" s="126"/>
      <c r="Z930" s="126"/>
      <c r="AA930" s="126"/>
      <c r="AB930" s="126"/>
      <c r="AC930" s="126"/>
      <c r="AD930" s="126"/>
      <c r="AE930" s="127"/>
      <c r="AF930" s="126"/>
      <c r="AG930" s="126"/>
      <c r="AH930" s="127"/>
      <c r="AI930" s="126"/>
      <c r="AJ930" s="127"/>
      <c r="AK930" s="127"/>
      <c r="AL930" s="129"/>
      <c r="AM930" s="129"/>
      <c r="AN930" s="44"/>
      <c r="AO930" s="44"/>
    </row>
    <row r="931" spans="2:41" ht="15.5">
      <c r="B931" s="125"/>
      <c r="C931" s="126"/>
      <c r="D931" s="126"/>
      <c r="E931" s="127"/>
      <c r="F931" s="128"/>
      <c r="G931" s="126"/>
      <c r="H931" s="127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5"/>
      <c r="X931" s="126"/>
      <c r="Y931" s="126"/>
      <c r="Z931" s="126"/>
      <c r="AA931" s="126"/>
      <c r="AB931" s="126"/>
      <c r="AC931" s="126"/>
      <c r="AD931" s="126"/>
      <c r="AE931" s="127"/>
      <c r="AF931" s="126"/>
      <c r="AG931" s="126"/>
      <c r="AH931" s="127"/>
      <c r="AI931" s="126"/>
      <c r="AJ931" s="127"/>
      <c r="AK931" s="127"/>
      <c r="AL931" s="129"/>
      <c r="AM931" s="129"/>
      <c r="AN931" s="44"/>
      <c r="AO931" s="44"/>
    </row>
    <row r="932" spans="2:41" ht="15.5">
      <c r="B932" s="125"/>
      <c r="C932" s="126"/>
      <c r="D932" s="126"/>
      <c r="E932" s="127"/>
      <c r="F932" s="128"/>
      <c r="G932" s="126"/>
      <c r="H932" s="127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5"/>
      <c r="X932" s="126"/>
      <c r="Y932" s="126"/>
      <c r="Z932" s="126"/>
      <c r="AA932" s="126"/>
      <c r="AB932" s="126"/>
      <c r="AC932" s="126"/>
      <c r="AD932" s="126"/>
      <c r="AE932" s="127"/>
      <c r="AF932" s="126"/>
      <c r="AG932" s="126"/>
      <c r="AH932" s="127"/>
      <c r="AI932" s="126"/>
      <c r="AJ932" s="127"/>
      <c r="AK932" s="127"/>
      <c r="AL932" s="129"/>
      <c r="AM932" s="129"/>
      <c r="AN932" s="44"/>
      <c r="AO932" s="44"/>
    </row>
    <row r="933" spans="2:41" ht="15.5">
      <c r="B933" s="125"/>
      <c r="C933" s="126"/>
      <c r="D933" s="126"/>
      <c r="E933" s="127"/>
      <c r="F933" s="128"/>
      <c r="G933" s="126"/>
      <c r="H933" s="127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5"/>
      <c r="X933" s="126"/>
      <c r="Y933" s="126"/>
      <c r="Z933" s="126"/>
      <c r="AA933" s="126"/>
      <c r="AB933" s="126"/>
      <c r="AC933" s="126"/>
      <c r="AD933" s="126"/>
      <c r="AE933" s="127"/>
      <c r="AF933" s="126"/>
      <c r="AG933" s="126"/>
      <c r="AH933" s="127"/>
      <c r="AI933" s="126"/>
      <c r="AJ933" s="127"/>
      <c r="AK933" s="127"/>
      <c r="AL933" s="129"/>
      <c r="AM933" s="129"/>
      <c r="AN933" s="44"/>
      <c r="AO933" s="44"/>
    </row>
    <row r="934" spans="2:41" ht="15.5">
      <c r="B934" s="125"/>
      <c r="C934" s="126"/>
      <c r="D934" s="126"/>
      <c r="E934" s="127"/>
      <c r="F934" s="128"/>
      <c r="G934" s="126"/>
      <c r="H934" s="127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5"/>
      <c r="X934" s="126"/>
      <c r="Y934" s="126"/>
      <c r="Z934" s="126"/>
      <c r="AA934" s="126"/>
      <c r="AB934" s="126"/>
      <c r="AC934" s="126"/>
      <c r="AD934" s="126"/>
      <c r="AE934" s="127"/>
      <c r="AF934" s="126"/>
      <c r="AG934" s="126"/>
      <c r="AH934" s="127"/>
      <c r="AI934" s="126"/>
      <c r="AJ934" s="127"/>
      <c r="AK934" s="127"/>
      <c r="AL934" s="129"/>
      <c r="AM934" s="129"/>
      <c r="AN934" s="44"/>
      <c r="AO934" s="44"/>
    </row>
    <row r="935" spans="2:41" ht="15.5">
      <c r="B935" s="125"/>
      <c r="C935" s="126"/>
      <c r="D935" s="126"/>
      <c r="E935" s="127"/>
      <c r="F935" s="128"/>
      <c r="G935" s="126"/>
      <c r="H935" s="127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5"/>
      <c r="X935" s="126"/>
      <c r="Y935" s="126"/>
      <c r="Z935" s="126"/>
      <c r="AA935" s="126"/>
      <c r="AB935" s="126"/>
      <c r="AC935" s="126"/>
      <c r="AD935" s="126"/>
      <c r="AE935" s="127"/>
      <c r="AF935" s="126"/>
      <c r="AG935" s="126"/>
      <c r="AH935" s="127"/>
      <c r="AI935" s="126"/>
      <c r="AJ935" s="127"/>
      <c r="AK935" s="127"/>
      <c r="AL935" s="129"/>
      <c r="AM935" s="129"/>
      <c r="AN935" s="44"/>
      <c r="AO935" s="44"/>
    </row>
    <row r="936" spans="2:41" ht="15.5">
      <c r="B936" s="125"/>
      <c r="C936" s="126"/>
      <c r="D936" s="126"/>
      <c r="E936" s="127"/>
      <c r="F936" s="128"/>
      <c r="G936" s="126"/>
      <c r="H936" s="127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5"/>
      <c r="X936" s="126"/>
      <c r="Y936" s="126"/>
      <c r="Z936" s="126"/>
      <c r="AA936" s="126"/>
      <c r="AB936" s="126"/>
      <c r="AC936" s="126"/>
      <c r="AD936" s="126"/>
      <c r="AE936" s="127"/>
      <c r="AF936" s="126"/>
      <c r="AG936" s="126"/>
      <c r="AH936" s="127"/>
      <c r="AI936" s="126"/>
      <c r="AJ936" s="127"/>
      <c r="AK936" s="127"/>
      <c r="AL936" s="129"/>
      <c r="AM936" s="129"/>
      <c r="AN936" s="44"/>
      <c r="AO936" s="44"/>
    </row>
    <row r="937" spans="2:41" ht="15.5">
      <c r="B937" s="125"/>
      <c r="C937" s="126"/>
      <c r="D937" s="126"/>
      <c r="E937" s="127"/>
      <c r="F937" s="128"/>
      <c r="G937" s="126"/>
      <c r="H937" s="127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5"/>
      <c r="X937" s="126"/>
      <c r="Y937" s="126"/>
      <c r="Z937" s="126"/>
      <c r="AA937" s="126"/>
      <c r="AB937" s="126"/>
      <c r="AC937" s="126"/>
      <c r="AD937" s="126"/>
      <c r="AE937" s="127"/>
      <c r="AF937" s="126"/>
      <c r="AG937" s="126"/>
      <c r="AH937" s="127"/>
      <c r="AI937" s="126"/>
      <c r="AJ937" s="127"/>
      <c r="AK937" s="127"/>
      <c r="AL937" s="129"/>
      <c r="AM937" s="129"/>
      <c r="AN937" s="44"/>
      <c r="AO937" s="44"/>
    </row>
    <row r="938" spans="2:41" ht="15.5">
      <c r="B938" s="125"/>
      <c r="C938" s="126"/>
      <c r="D938" s="126"/>
      <c r="E938" s="127"/>
      <c r="F938" s="128"/>
      <c r="G938" s="126"/>
      <c r="H938" s="127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5"/>
      <c r="X938" s="126"/>
      <c r="Y938" s="126"/>
      <c r="Z938" s="126"/>
      <c r="AA938" s="126"/>
      <c r="AB938" s="126"/>
      <c r="AC938" s="126"/>
      <c r="AD938" s="126"/>
      <c r="AE938" s="127"/>
      <c r="AF938" s="126"/>
      <c r="AG938" s="126"/>
      <c r="AH938" s="127"/>
      <c r="AI938" s="126"/>
      <c r="AJ938" s="127"/>
      <c r="AK938" s="127"/>
      <c r="AL938" s="129"/>
      <c r="AM938" s="129"/>
      <c r="AN938" s="44"/>
      <c r="AO938" s="44"/>
    </row>
    <row r="939" spans="2:41" ht="15.5">
      <c r="B939" s="125"/>
      <c r="C939" s="126"/>
      <c r="D939" s="126"/>
      <c r="E939" s="127"/>
      <c r="F939" s="128"/>
      <c r="G939" s="126"/>
      <c r="H939" s="127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5"/>
      <c r="X939" s="126"/>
      <c r="Y939" s="126"/>
      <c r="Z939" s="126"/>
      <c r="AA939" s="126"/>
      <c r="AB939" s="126"/>
      <c r="AC939" s="126"/>
      <c r="AD939" s="126"/>
      <c r="AE939" s="127"/>
      <c r="AF939" s="126"/>
      <c r="AG939" s="126"/>
      <c r="AH939" s="127"/>
      <c r="AI939" s="126"/>
      <c r="AJ939" s="127"/>
      <c r="AK939" s="127"/>
      <c r="AL939" s="129"/>
      <c r="AM939" s="129"/>
      <c r="AN939" s="44"/>
      <c r="AO939" s="44"/>
    </row>
    <row r="940" spans="2:41" ht="15.5">
      <c r="B940" s="125"/>
      <c r="C940" s="126"/>
      <c r="D940" s="126"/>
      <c r="E940" s="127"/>
      <c r="F940" s="128"/>
      <c r="G940" s="126"/>
      <c r="H940" s="127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5"/>
      <c r="X940" s="126"/>
      <c r="Y940" s="126"/>
      <c r="Z940" s="126"/>
      <c r="AA940" s="126"/>
      <c r="AB940" s="126"/>
      <c r="AC940" s="126"/>
      <c r="AD940" s="126"/>
      <c r="AE940" s="127"/>
      <c r="AF940" s="126"/>
      <c r="AG940" s="126"/>
      <c r="AH940" s="127"/>
      <c r="AI940" s="126"/>
      <c r="AJ940" s="127"/>
      <c r="AK940" s="127"/>
      <c r="AL940" s="129"/>
      <c r="AM940" s="129"/>
      <c r="AN940" s="44"/>
      <c r="AO940" s="44"/>
    </row>
    <row r="941" spans="2:41" ht="15.5">
      <c r="B941" s="125"/>
      <c r="C941" s="126"/>
      <c r="D941" s="126"/>
      <c r="E941" s="127"/>
      <c r="F941" s="128"/>
      <c r="G941" s="126"/>
      <c r="H941" s="127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5"/>
      <c r="X941" s="126"/>
      <c r="Y941" s="126"/>
      <c r="Z941" s="126"/>
      <c r="AA941" s="126"/>
      <c r="AB941" s="126"/>
      <c r="AC941" s="126"/>
      <c r="AD941" s="126"/>
      <c r="AE941" s="127"/>
      <c r="AF941" s="126"/>
      <c r="AG941" s="126"/>
      <c r="AH941" s="127"/>
      <c r="AI941" s="126"/>
      <c r="AJ941" s="127"/>
      <c r="AK941" s="127"/>
      <c r="AL941" s="129"/>
      <c r="AM941" s="129"/>
      <c r="AN941" s="44"/>
      <c r="AO941" s="44"/>
    </row>
    <row r="942" spans="2:41" ht="15.5">
      <c r="B942" s="125"/>
      <c r="C942" s="126"/>
      <c r="D942" s="126"/>
      <c r="E942" s="127"/>
      <c r="F942" s="128"/>
      <c r="G942" s="126"/>
      <c r="H942" s="127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5"/>
      <c r="X942" s="126"/>
      <c r="Y942" s="126"/>
      <c r="Z942" s="126"/>
      <c r="AA942" s="126"/>
      <c r="AB942" s="126"/>
      <c r="AC942" s="126"/>
      <c r="AD942" s="126"/>
      <c r="AE942" s="127"/>
      <c r="AF942" s="126"/>
      <c r="AG942" s="126"/>
      <c r="AH942" s="127"/>
      <c r="AI942" s="126"/>
      <c r="AJ942" s="127"/>
      <c r="AK942" s="127"/>
      <c r="AL942" s="129"/>
      <c r="AM942" s="129"/>
      <c r="AN942" s="44"/>
      <c r="AO942" s="44"/>
    </row>
    <row r="943" spans="2:41" ht="15.5">
      <c r="B943" s="125"/>
      <c r="C943" s="126"/>
      <c r="D943" s="126"/>
      <c r="E943" s="127"/>
      <c r="F943" s="128"/>
      <c r="G943" s="126"/>
      <c r="H943" s="127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5"/>
      <c r="X943" s="126"/>
      <c r="Y943" s="126"/>
      <c r="Z943" s="126"/>
      <c r="AA943" s="126"/>
      <c r="AB943" s="126"/>
      <c r="AC943" s="126"/>
      <c r="AD943" s="126"/>
      <c r="AE943" s="127"/>
      <c r="AF943" s="126"/>
      <c r="AG943" s="126"/>
      <c r="AH943" s="127"/>
      <c r="AI943" s="126"/>
      <c r="AJ943" s="127"/>
      <c r="AK943" s="127"/>
      <c r="AL943" s="129"/>
      <c r="AM943" s="129"/>
      <c r="AN943" s="44"/>
      <c r="AO943" s="44"/>
    </row>
    <row r="944" spans="2:41" ht="15.5">
      <c r="B944" s="125"/>
      <c r="C944" s="126"/>
      <c r="D944" s="126"/>
      <c r="E944" s="127"/>
      <c r="F944" s="128"/>
      <c r="G944" s="126"/>
      <c r="H944" s="127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5"/>
      <c r="X944" s="126"/>
      <c r="Y944" s="126"/>
      <c r="Z944" s="126"/>
      <c r="AA944" s="126"/>
      <c r="AB944" s="126"/>
      <c r="AC944" s="126"/>
      <c r="AD944" s="126"/>
      <c r="AE944" s="127"/>
      <c r="AF944" s="126"/>
      <c r="AG944" s="126"/>
      <c r="AH944" s="127"/>
      <c r="AI944" s="126"/>
      <c r="AJ944" s="127"/>
      <c r="AK944" s="127"/>
      <c r="AL944" s="129"/>
      <c r="AM944" s="129"/>
      <c r="AN944" s="44"/>
      <c r="AO944" s="44"/>
    </row>
    <row r="945" spans="2:41" ht="15.5">
      <c r="B945" s="125"/>
      <c r="C945" s="126"/>
      <c r="D945" s="126"/>
      <c r="E945" s="127"/>
      <c r="F945" s="128"/>
      <c r="G945" s="126"/>
      <c r="H945" s="127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5"/>
      <c r="X945" s="126"/>
      <c r="Y945" s="126"/>
      <c r="Z945" s="126"/>
      <c r="AA945" s="126"/>
      <c r="AB945" s="126"/>
      <c r="AC945" s="126"/>
      <c r="AD945" s="126"/>
      <c r="AE945" s="127"/>
      <c r="AF945" s="126"/>
      <c r="AG945" s="126"/>
      <c r="AH945" s="127"/>
      <c r="AI945" s="126"/>
      <c r="AJ945" s="127"/>
      <c r="AK945" s="127"/>
      <c r="AL945" s="129"/>
      <c r="AM945" s="129"/>
      <c r="AN945" s="44"/>
      <c r="AO945" s="44"/>
    </row>
    <row r="946" spans="2:41" ht="15.5">
      <c r="B946" s="125"/>
      <c r="C946" s="126"/>
      <c r="D946" s="126"/>
      <c r="E946" s="127"/>
      <c r="F946" s="128"/>
      <c r="G946" s="126"/>
      <c r="H946" s="127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5"/>
      <c r="X946" s="126"/>
      <c r="Y946" s="126"/>
      <c r="Z946" s="126"/>
      <c r="AA946" s="126"/>
      <c r="AB946" s="126"/>
      <c r="AC946" s="126"/>
      <c r="AD946" s="126"/>
      <c r="AE946" s="127"/>
      <c r="AF946" s="126"/>
      <c r="AG946" s="126"/>
      <c r="AH946" s="127"/>
      <c r="AI946" s="126"/>
      <c r="AJ946" s="127"/>
      <c r="AK946" s="127"/>
      <c r="AL946" s="129"/>
      <c r="AM946" s="129"/>
      <c r="AN946" s="44"/>
      <c r="AO946" s="44"/>
    </row>
    <row r="947" spans="2:41" ht="15.5">
      <c r="B947" s="125"/>
      <c r="C947" s="126"/>
      <c r="D947" s="126"/>
      <c r="E947" s="127"/>
      <c r="F947" s="128"/>
      <c r="G947" s="126"/>
      <c r="H947" s="127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5"/>
      <c r="X947" s="126"/>
      <c r="Y947" s="126"/>
      <c r="Z947" s="126"/>
      <c r="AA947" s="126"/>
      <c r="AB947" s="126"/>
      <c r="AC947" s="126"/>
      <c r="AD947" s="126"/>
      <c r="AE947" s="127"/>
      <c r="AF947" s="126"/>
      <c r="AG947" s="126"/>
      <c r="AH947" s="127"/>
      <c r="AI947" s="126"/>
      <c r="AJ947" s="127"/>
      <c r="AK947" s="127"/>
      <c r="AL947" s="129"/>
      <c r="AM947" s="129"/>
      <c r="AN947" s="44"/>
      <c r="AO947" s="44"/>
    </row>
    <row r="948" spans="2:41" ht="15.5">
      <c r="B948" s="125"/>
      <c r="C948" s="126"/>
      <c r="D948" s="126"/>
      <c r="E948" s="127"/>
      <c r="F948" s="128"/>
      <c r="G948" s="126"/>
      <c r="H948" s="127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5"/>
      <c r="X948" s="126"/>
      <c r="Y948" s="126"/>
      <c r="Z948" s="126"/>
      <c r="AA948" s="126"/>
      <c r="AB948" s="126"/>
      <c r="AC948" s="126"/>
      <c r="AD948" s="126"/>
      <c r="AE948" s="127"/>
      <c r="AF948" s="126"/>
      <c r="AG948" s="126"/>
      <c r="AH948" s="127"/>
      <c r="AI948" s="126"/>
      <c r="AJ948" s="127"/>
      <c r="AK948" s="127"/>
      <c r="AL948" s="129"/>
      <c r="AM948" s="129"/>
      <c r="AN948" s="44"/>
      <c r="AO948" s="44"/>
    </row>
    <row r="949" spans="2:41" ht="15.5">
      <c r="B949" s="125"/>
      <c r="C949" s="126"/>
      <c r="D949" s="126"/>
      <c r="E949" s="127"/>
      <c r="F949" s="128"/>
      <c r="G949" s="126"/>
      <c r="H949" s="127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5"/>
      <c r="X949" s="126"/>
      <c r="Y949" s="126"/>
      <c r="Z949" s="126"/>
      <c r="AA949" s="126"/>
      <c r="AB949" s="126"/>
      <c r="AC949" s="126"/>
      <c r="AD949" s="126"/>
      <c r="AE949" s="127"/>
      <c r="AF949" s="126"/>
      <c r="AG949" s="126"/>
      <c r="AH949" s="127"/>
      <c r="AI949" s="126"/>
      <c r="AJ949" s="127"/>
      <c r="AK949" s="127"/>
      <c r="AL949" s="129"/>
      <c r="AM949" s="129"/>
      <c r="AN949" s="44"/>
      <c r="AO949" s="44"/>
    </row>
    <row r="950" spans="2:41" ht="15.5">
      <c r="B950" s="125"/>
      <c r="C950" s="126"/>
      <c r="D950" s="126"/>
      <c r="E950" s="127"/>
      <c r="F950" s="128"/>
      <c r="G950" s="126"/>
      <c r="H950" s="127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5"/>
      <c r="X950" s="126"/>
      <c r="Y950" s="126"/>
      <c r="Z950" s="126"/>
      <c r="AA950" s="126"/>
      <c r="AB950" s="126"/>
      <c r="AC950" s="126"/>
      <c r="AD950" s="126"/>
      <c r="AE950" s="127"/>
      <c r="AF950" s="126"/>
      <c r="AG950" s="126"/>
      <c r="AH950" s="127"/>
      <c r="AI950" s="126"/>
      <c r="AJ950" s="127"/>
      <c r="AK950" s="127"/>
      <c r="AL950" s="129"/>
      <c r="AM950" s="129"/>
      <c r="AN950" s="44"/>
      <c r="AO950" s="44"/>
    </row>
    <row r="951" spans="2:41" ht="15.5">
      <c r="B951" s="125"/>
      <c r="C951" s="126"/>
      <c r="D951" s="126"/>
      <c r="E951" s="127"/>
      <c r="F951" s="128"/>
      <c r="G951" s="126"/>
      <c r="H951" s="127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5"/>
      <c r="X951" s="126"/>
      <c r="Y951" s="126"/>
      <c r="Z951" s="126"/>
      <c r="AA951" s="126"/>
      <c r="AB951" s="126"/>
      <c r="AC951" s="126"/>
      <c r="AD951" s="126"/>
      <c r="AE951" s="127"/>
      <c r="AF951" s="126"/>
      <c r="AG951" s="126"/>
      <c r="AH951" s="127"/>
      <c r="AI951" s="126"/>
      <c r="AJ951" s="127"/>
      <c r="AK951" s="127"/>
      <c r="AL951" s="129"/>
      <c r="AM951" s="129"/>
      <c r="AN951" s="44"/>
      <c r="AO951" s="44"/>
    </row>
    <row r="952" spans="2:41" ht="15.5">
      <c r="B952" s="125"/>
      <c r="C952" s="126"/>
      <c r="D952" s="126"/>
      <c r="E952" s="127"/>
      <c r="F952" s="128"/>
      <c r="G952" s="126"/>
      <c r="H952" s="127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5"/>
      <c r="X952" s="126"/>
      <c r="Y952" s="126"/>
      <c r="Z952" s="126"/>
      <c r="AA952" s="126"/>
      <c r="AB952" s="126"/>
      <c r="AC952" s="126"/>
      <c r="AD952" s="126"/>
      <c r="AE952" s="127"/>
      <c r="AF952" s="126"/>
      <c r="AG952" s="126"/>
      <c r="AH952" s="127"/>
      <c r="AI952" s="126"/>
      <c r="AJ952" s="127"/>
      <c r="AK952" s="127"/>
      <c r="AL952" s="129"/>
      <c r="AM952" s="129"/>
      <c r="AN952" s="44"/>
      <c r="AO952" s="44"/>
    </row>
    <row r="953" spans="2:41" ht="15.5">
      <c r="B953" s="125"/>
      <c r="C953" s="126"/>
      <c r="D953" s="126"/>
      <c r="E953" s="127"/>
      <c r="F953" s="128"/>
      <c r="G953" s="126"/>
      <c r="H953" s="127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5"/>
      <c r="X953" s="126"/>
      <c r="Y953" s="126"/>
      <c r="Z953" s="126"/>
      <c r="AA953" s="126"/>
      <c r="AB953" s="126"/>
      <c r="AC953" s="126"/>
      <c r="AD953" s="126"/>
      <c r="AE953" s="127"/>
      <c r="AF953" s="126"/>
      <c r="AG953" s="126"/>
      <c r="AH953" s="127"/>
      <c r="AI953" s="126"/>
      <c r="AJ953" s="127"/>
      <c r="AK953" s="127"/>
      <c r="AL953" s="129"/>
      <c r="AM953" s="129"/>
      <c r="AN953" s="44"/>
      <c r="AO953" s="44"/>
    </row>
    <row r="954" spans="2:41" ht="15.5">
      <c r="B954" s="125"/>
      <c r="C954" s="126"/>
      <c r="D954" s="126"/>
      <c r="E954" s="127"/>
      <c r="F954" s="128"/>
      <c r="G954" s="126"/>
      <c r="H954" s="127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5"/>
      <c r="X954" s="126"/>
      <c r="Y954" s="126"/>
      <c r="Z954" s="126"/>
      <c r="AA954" s="126"/>
      <c r="AB954" s="126"/>
      <c r="AC954" s="126"/>
      <c r="AD954" s="126"/>
      <c r="AE954" s="127"/>
      <c r="AF954" s="126"/>
      <c r="AG954" s="126"/>
      <c r="AH954" s="127"/>
      <c r="AI954" s="126"/>
      <c r="AJ954" s="127"/>
      <c r="AK954" s="127"/>
      <c r="AL954" s="129"/>
      <c r="AM954" s="129"/>
      <c r="AN954" s="44"/>
      <c r="AO954" s="44"/>
    </row>
    <row r="955" spans="2:41" ht="15.5">
      <c r="B955" s="125"/>
      <c r="C955" s="126"/>
      <c r="D955" s="126"/>
      <c r="E955" s="127"/>
      <c r="F955" s="128"/>
      <c r="G955" s="126"/>
      <c r="H955" s="127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5"/>
      <c r="X955" s="126"/>
      <c r="Y955" s="126"/>
      <c r="Z955" s="126"/>
      <c r="AA955" s="126"/>
      <c r="AB955" s="126"/>
      <c r="AC955" s="126"/>
      <c r="AD955" s="126"/>
      <c r="AE955" s="127"/>
      <c r="AF955" s="126"/>
      <c r="AG955" s="126"/>
      <c r="AH955" s="127"/>
      <c r="AI955" s="126"/>
      <c r="AJ955" s="127"/>
      <c r="AK955" s="127"/>
      <c r="AL955" s="129"/>
      <c r="AM955" s="129"/>
      <c r="AN955" s="44"/>
      <c r="AO955" s="44"/>
    </row>
    <row r="956" spans="2:41" ht="15.5">
      <c r="B956" s="125"/>
      <c r="C956" s="126"/>
      <c r="D956" s="126"/>
      <c r="E956" s="127"/>
      <c r="F956" s="128"/>
      <c r="G956" s="126"/>
      <c r="H956" s="127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5"/>
      <c r="X956" s="126"/>
      <c r="Y956" s="126"/>
      <c r="Z956" s="126"/>
      <c r="AA956" s="126"/>
      <c r="AB956" s="126"/>
      <c r="AC956" s="126"/>
      <c r="AD956" s="126"/>
      <c r="AE956" s="127"/>
      <c r="AF956" s="126"/>
      <c r="AG956" s="126"/>
      <c r="AH956" s="127"/>
      <c r="AI956" s="126"/>
      <c r="AJ956" s="127"/>
      <c r="AK956" s="127"/>
      <c r="AL956" s="129"/>
      <c r="AM956" s="129"/>
      <c r="AN956" s="44"/>
      <c r="AO956" s="44"/>
    </row>
    <row r="957" spans="2:41" ht="15.5">
      <c r="B957" s="125"/>
      <c r="C957" s="126"/>
      <c r="D957" s="126"/>
      <c r="E957" s="127"/>
      <c r="F957" s="128"/>
      <c r="G957" s="126"/>
      <c r="H957" s="127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5"/>
      <c r="X957" s="126"/>
      <c r="Y957" s="126"/>
      <c r="Z957" s="126"/>
      <c r="AA957" s="126"/>
      <c r="AB957" s="126"/>
      <c r="AC957" s="126"/>
      <c r="AD957" s="126"/>
      <c r="AE957" s="127"/>
      <c r="AF957" s="126"/>
      <c r="AG957" s="126"/>
      <c r="AH957" s="127"/>
      <c r="AI957" s="126"/>
      <c r="AJ957" s="127"/>
      <c r="AK957" s="127"/>
      <c r="AL957" s="129"/>
      <c r="AM957" s="129"/>
      <c r="AN957" s="44"/>
      <c r="AO957" s="44"/>
    </row>
    <row r="958" spans="2:41" ht="15.5">
      <c r="B958" s="125"/>
      <c r="C958" s="126"/>
      <c r="D958" s="126"/>
      <c r="E958" s="127"/>
      <c r="F958" s="128"/>
      <c r="G958" s="126"/>
      <c r="H958" s="127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5"/>
      <c r="X958" s="126"/>
      <c r="Y958" s="126"/>
      <c r="Z958" s="126"/>
      <c r="AA958" s="126"/>
      <c r="AB958" s="126"/>
      <c r="AC958" s="126"/>
      <c r="AD958" s="126"/>
      <c r="AE958" s="127"/>
      <c r="AF958" s="126"/>
      <c r="AG958" s="126"/>
      <c r="AH958" s="127"/>
      <c r="AI958" s="126"/>
      <c r="AJ958" s="127"/>
      <c r="AK958" s="127"/>
      <c r="AL958" s="129"/>
      <c r="AM958" s="129"/>
      <c r="AN958" s="44"/>
      <c r="AO958" s="44"/>
    </row>
    <row r="959" spans="2:41" ht="15.5">
      <c r="B959" s="125"/>
      <c r="C959" s="126"/>
      <c r="D959" s="126"/>
      <c r="E959" s="127"/>
      <c r="F959" s="128"/>
      <c r="G959" s="126"/>
      <c r="H959" s="127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5"/>
      <c r="X959" s="126"/>
      <c r="Y959" s="126"/>
      <c r="Z959" s="126"/>
      <c r="AA959" s="126"/>
      <c r="AB959" s="126"/>
      <c r="AC959" s="126"/>
      <c r="AD959" s="126"/>
      <c r="AE959" s="127"/>
      <c r="AF959" s="126"/>
      <c r="AG959" s="126"/>
      <c r="AH959" s="127"/>
      <c r="AI959" s="126"/>
      <c r="AJ959" s="127"/>
      <c r="AK959" s="127"/>
      <c r="AL959" s="129"/>
      <c r="AM959" s="129"/>
      <c r="AN959" s="44"/>
      <c r="AO959" s="44"/>
    </row>
    <row r="960" spans="2:41" ht="15.5">
      <c r="B960" s="125"/>
      <c r="C960" s="126"/>
      <c r="D960" s="126"/>
      <c r="E960" s="127"/>
      <c r="F960" s="128"/>
      <c r="G960" s="126"/>
      <c r="H960" s="127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5"/>
      <c r="X960" s="126"/>
      <c r="Y960" s="126"/>
      <c r="Z960" s="126"/>
      <c r="AA960" s="126"/>
      <c r="AB960" s="126"/>
      <c r="AC960" s="126"/>
      <c r="AD960" s="126"/>
      <c r="AE960" s="127"/>
      <c r="AF960" s="126"/>
      <c r="AG960" s="126"/>
      <c r="AH960" s="127"/>
      <c r="AI960" s="126"/>
      <c r="AJ960" s="127"/>
      <c r="AK960" s="127"/>
      <c r="AL960" s="129"/>
      <c r="AM960" s="129"/>
      <c r="AN960" s="44"/>
      <c r="AO960" s="44"/>
    </row>
    <row r="961" spans="2:41" ht="15.5">
      <c r="B961" s="125"/>
      <c r="C961" s="126"/>
      <c r="D961" s="126"/>
      <c r="E961" s="127"/>
      <c r="F961" s="128"/>
      <c r="G961" s="126"/>
      <c r="H961" s="127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5"/>
      <c r="X961" s="126"/>
      <c r="Y961" s="126"/>
      <c r="Z961" s="126"/>
      <c r="AA961" s="126"/>
      <c r="AB961" s="126"/>
      <c r="AC961" s="126"/>
      <c r="AD961" s="126"/>
      <c r="AE961" s="127"/>
      <c r="AF961" s="126"/>
      <c r="AG961" s="126"/>
      <c r="AH961" s="127"/>
      <c r="AI961" s="126"/>
      <c r="AJ961" s="127"/>
      <c r="AK961" s="127"/>
      <c r="AL961" s="129"/>
      <c r="AM961" s="129"/>
      <c r="AN961" s="44"/>
      <c r="AO961" s="44"/>
    </row>
    <row r="962" spans="2:41" ht="15.5">
      <c r="B962" s="125"/>
      <c r="C962" s="126"/>
      <c r="D962" s="126"/>
      <c r="E962" s="127"/>
      <c r="F962" s="128"/>
      <c r="G962" s="126"/>
      <c r="H962" s="127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5"/>
      <c r="X962" s="126"/>
      <c r="Y962" s="126"/>
      <c r="Z962" s="126"/>
      <c r="AA962" s="126"/>
      <c r="AB962" s="126"/>
      <c r="AC962" s="126"/>
      <c r="AD962" s="126"/>
      <c r="AE962" s="127"/>
      <c r="AF962" s="126"/>
      <c r="AG962" s="126"/>
      <c r="AH962" s="127"/>
      <c r="AI962" s="126"/>
      <c r="AJ962" s="127"/>
      <c r="AK962" s="127"/>
      <c r="AL962" s="129"/>
      <c r="AM962" s="129"/>
      <c r="AN962" s="44"/>
      <c r="AO962" s="44"/>
    </row>
    <row r="963" spans="2:41" ht="15.5">
      <c r="B963" s="125"/>
      <c r="C963" s="126"/>
      <c r="D963" s="126"/>
      <c r="E963" s="127"/>
      <c r="F963" s="128"/>
      <c r="G963" s="126"/>
      <c r="H963" s="127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5"/>
      <c r="X963" s="126"/>
      <c r="Y963" s="126"/>
      <c r="Z963" s="126"/>
      <c r="AA963" s="126"/>
      <c r="AB963" s="126"/>
      <c r="AC963" s="126"/>
      <c r="AD963" s="126"/>
      <c r="AE963" s="127"/>
      <c r="AF963" s="126"/>
      <c r="AG963" s="126"/>
      <c r="AH963" s="127"/>
      <c r="AI963" s="126"/>
      <c r="AJ963" s="127"/>
      <c r="AK963" s="127"/>
      <c r="AL963" s="129"/>
      <c r="AM963" s="129"/>
      <c r="AN963" s="44"/>
      <c r="AO963" s="44"/>
    </row>
    <row r="964" spans="2:41" ht="15.5">
      <c r="B964" s="125"/>
      <c r="C964" s="126"/>
      <c r="D964" s="126"/>
      <c r="E964" s="127"/>
      <c r="F964" s="128"/>
      <c r="G964" s="126"/>
      <c r="H964" s="127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5"/>
      <c r="X964" s="126"/>
      <c r="Y964" s="126"/>
      <c r="Z964" s="126"/>
      <c r="AA964" s="126"/>
      <c r="AB964" s="126"/>
      <c r="AC964" s="126"/>
      <c r="AD964" s="126"/>
      <c r="AE964" s="127"/>
      <c r="AF964" s="126"/>
      <c r="AG964" s="126"/>
      <c r="AH964" s="127"/>
      <c r="AI964" s="126"/>
      <c r="AJ964" s="127"/>
      <c r="AK964" s="127"/>
      <c r="AL964" s="129"/>
      <c r="AM964" s="129"/>
      <c r="AN964" s="44"/>
      <c r="AO964" s="44"/>
    </row>
    <row r="965" spans="2:41" ht="15.5">
      <c r="B965" s="125"/>
      <c r="C965" s="126"/>
      <c r="D965" s="126"/>
      <c r="E965" s="127"/>
      <c r="F965" s="128"/>
      <c r="G965" s="126"/>
      <c r="H965" s="127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5"/>
      <c r="X965" s="126"/>
      <c r="Y965" s="126"/>
      <c r="Z965" s="126"/>
      <c r="AA965" s="126"/>
      <c r="AB965" s="126"/>
      <c r="AC965" s="126"/>
      <c r="AD965" s="126"/>
      <c r="AE965" s="127"/>
      <c r="AF965" s="126"/>
      <c r="AG965" s="126"/>
      <c r="AH965" s="127"/>
      <c r="AI965" s="126"/>
      <c r="AJ965" s="127"/>
      <c r="AK965" s="127"/>
      <c r="AL965" s="129"/>
      <c r="AM965" s="129"/>
      <c r="AN965" s="44"/>
      <c r="AO965" s="44"/>
    </row>
    <row r="966" spans="2:41" ht="15.5">
      <c r="B966" s="125"/>
      <c r="C966" s="126"/>
      <c r="D966" s="126"/>
      <c r="E966" s="127"/>
      <c r="F966" s="128"/>
      <c r="G966" s="126"/>
      <c r="H966" s="127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5"/>
      <c r="X966" s="126"/>
      <c r="Y966" s="126"/>
      <c r="Z966" s="126"/>
      <c r="AA966" s="126"/>
      <c r="AB966" s="126"/>
      <c r="AC966" s="126"/>
      <c r="AD966" s="126"/>
      <c r="AE966" s="127"/>
      <c r="AF966" s="126"/>
      <c r="AG966" s="126"/>
      <c r="AH966" s="127"/>
      <c r="AI966" s="126"/>
      <c r="AJ966" s="127"/>
      <c r="AK966" s="127"/>
      <c r="AL966" s="129"/>
      <c r="AM966" s="129"/>
      <c r="AN966" s="44"/>
      <c r="AO966" s="44"/>
    </row>
    <row r="967" spans="2:41" ht="15.5">
      <c r="B967" s="125"/>
      <c r="C967" s="126"/>
      <c r="D967" s="126"/>
      <c r="E967" s="127"/>
      <c r="F967" s="128"/>
      <c r="G967" s="126"/>
      <c r="H967" s="127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5"/>
      <c r="X967" s="126"/>
      <c r="Y967" s="126"/>
      <c r="Z967" s="126"/>
      <c r="AA967" s="126"/>
      <c r="AB967" s="126"/>
      <c r="AC967" s="126"/>
      <c r="AD967" s="126"/>
      <c r="AE967" s="127"/>
      <c r="AF967" s="126"/>
      <c r="AG967" s="126"/>
      <c r="AH967" s="127"/>
      <c r="AI967" s="126"/>
      <c r="AJ967" s="127"/>
      <c r="AK967" s="127"/>
      <c r="AL967" s="129"/>
      <c r="AM967" s="129"/>
      <c r="AN967" s="44"/>
      <c r="AO967" s="44"/>
    </row>
    <row r="968" spans="2:41" ht="15.5">
      <c r="B968" s="125"/>
      <c r="C968" s="126"/>
      <c r="D968" s="126"/>
      <c r="E968" s="127"/>
      <c r="F968" s="128"/>
      <c r="G968" s="126"/>
      <c r="H968" s="127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5"/>
      <c r="X968" s="126"/>
      <c r="Y968" s="126"/>
      <c r="Z968" s="126"/>
      <c r="AA968" s="126"/>
      <c r="AB968" s="126"/>
      <c r="AC968" s="126"/>
      <c r="AD968" s="126"/>
      <c r="AE968" s="127"/>
      <c r="AF968" s="126"/>
      <c r="AG968" s="126"/>
      <c r="AH968" s="127"/>
      <c r="AI968" s="126"/>
      <c r="AJ968" s="127"/>
      <c r="AK968" s="127"/>
      <c r="AL968" s="129"/>
      <c r="AM968" s="129"/>
      <c r="AN968" s="44"/>
      <c r="AO968" s="44"/>
    </row>
    <row r="969" spans="2:41" ht="15.5">
      <c r="B969" s="125"/>
      <c r="C969" s="126"/>
      <c r="D969" s="126"/>
      <c r="E969" s="127"/>
      <c r="F969" s="128"/>
      <c r="G969" s="126"/>
      <c r="H969" s="127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5"/>
      <c r="X969" s="126"/>
      <c r="Y969" s="126"/>
      <c r="Z969" s="126"/>
      <c r="AA969" s="126"/>
      <c r="AB969" s="126"/>
      <c r="AC969" s="126"/>
      <c r="AD969" s="126"/>
      <c r="AE969" s="127"/>
      <c r="AF969" s="126"/>
      <c r="AG969" s="126"/>
      <c r="AH969" s="127"/>
      <c r="AI969" s="126"/>
      <c r="AJ969" s="127"/>
      <c r="AK969" s="127"/>
      <c r="AL969" s="129"/>
      <c r="AM969" s="129"/>
      <c r="AN969" s="44"/>
      <c r="AO969" s="44"/>
    </row>
    <row r="970" spans="2:41" ht="15.5">
      <c r="B970" s="125"/>
      <c r="C970" s="126"/>
      <c r="D970" s="126"/>
      <c r="E970" s="127"/>
      <c r="F970" s="128"/>
      <c r="G970" s="126"/>
      <c r="H970" s="127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5"/>
      <c r="X970" s="126"/>
      <c r="Y970" s="126"/>
      <c r="Z970" s="126"/>
      <c r="AA970" s="126"/>
      <c r="AB970" s="126"/>
      <c r="AC970" s="126"/>
      <c r="AD970" s="126"/>
      <c r="AE970" s="127"/>
      <c r="AF970" s="126"/>
      <c r="AG970" s="126"/>
      <c r="AH970" s="127"/>
      <c r="AI970" s="126"/>
      <c r="AJ970" s="127"/>
      <c r="AK970" s="127"/>
      <c r="AL970" s="129"/>
      <c r="AM970" s="129"/>
      <c r="AN970" s="44"/>
      <c r="AO970" s="44"/>
    </row>
    <row r="971" spans="2:41" ht="15.5">
      <c r="B971" s="125"/>
      <c r="C971" s="126"/>
      <c r="D971" s="126"/>
      <c r="E971" s="127"/>
      <c r="F971" s="128"/>
      <c r="G971" s="126"/>
      <c r="H971" s="127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5"/>
      <c r="X971" s="126"/>
      <c r="Y971" s="126"/>
      <c r="Z971" s="126"/>
      <c r="AA971" s="126"/>
      <c r="AB971" s="126"/>
      <c r="AC971" s="126"/>
      <c r="AD971" s="126"/>
      <c r="AE971" s="127"/>
      <c r="AF971" s="126"/>
      <c r="AG971" s="126"/>
      <c r="AH971" s="127"/>
      <c r="AI971" s="126"/>
      <c r="AJ971" s="127"/>
      <c r="AK971" s="127"/>
      <c r="AL971" s="129"/>
      <c r="AM971" s="129"/>
      <c r="AN971" s="44"/>
      <c r="AO971" s="44"/>
    </row>
    <row r="972" spans="2:41" ht="15.5">
      <c r="B972" s="125"/>
      <c r="C972" s="126"/>
      <c r="D972" s="126"/>
      <c r="E972" s="127"/>
      <c r="F972" s="128"/>
      <c r="G972" s="126"/>
      <c r="H972" s="127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5"/>
      <c r="X972" s="126"/>
      <c r="Y972" s="126"/>
      <c r="Z972" s="126"/>
      <c r="AA972" s="126"/>
      <c r="AB972" s="126"/>
      <c r="AC972" s="126"/>
      <c r="AD972" s="126"/>
      <c r="AE972" s="127"/>
      <c r="AF972" s="126"/>
      <c r="AG972" s="126"/>
      <c r="AH972" s="127"/>
      <c r="AI972" s="126"/>
      <c r="AJ972" s="127"/>
      <c r="AK972" s="127"/>
      <c r="AL972" s="129"/>
      <c r="AM972" s="129"/>
      <c r="AN972" s="44"/>
      <c r="AO972" s="44"/>
    </row>
    <row r="973" spans="2:41" ht="15.5">
      <c r="B973" s="125"/>
      <c r="C973" s="126"/>
      <c r="D973" s="126"/>
      <c r="E973" s="127"/>
      <c r="F973" s="128"/>
      <c r="G973" s="126"/>
      <c r="H973" s="127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5"/>
      <c r="X973" s="126"/>
      <c r="Y973" s="126"/>
      <c r="Z973" s="126"/>
      <c r="AA973" s="126"/>
      <c r="AB973" s="126"/>
      <c r="AC973" s="126"/>
      <c r="AD973" s="126"/>
      <c r="AE973" s="127"/>
      <c r="AF973" s="126"/>
      <c r="AG973" s="126"/>
      <c r="AH973" s="127"/>
      <c r="AI973" s="126"/>
      <c r="AJ973" s="127"/>
      <c r="AK973" s="127"/>
      <c r="AL973" s="129"/>
      <c r="AM973" s="129"/>
      <c r="AN973" s="44"/>
      <c r="AO973" s="44"/>
    </row>
    <row r="974" spans="2:41" ht="15.5">
      <c r="B974" s="125"/>
      <c r="C974" s="126"/>
      <c r="D974" s="126"/>
      <c r="E974" s="127"/>
      <c r="F974" s="128"/>
      <c r="G974" s="126"/>
      <c r="H974" s="127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5"/>
      <c r="X974" s="126"/>
      <c r="Y974" s="126"/>
      <c r="Z974" s="126"/>
      <c r="AA974" s="126"/>
      <c r="AB974" s="126"/>
      <c r="AC974" s="126"/>
      <c r="AD974" s="126"/>
      <c r="AE974" s="127"/>
      <c r="AF974" s="126"/>
      <c r="AG974" s="126"/>
      <c r="AH974" s="127"/>
      <c r="AI974" s="126"/>
      <c r="AJ974" s="127"/>
      <c r="AK974" s="127"/>
      <c r="AL974" s="129"/>
      <c r="AM974" s="129"/>
      <c r="AN974" s="44"/>
      <c r="AO974" s="44"/>
    </row>
    <row r="975" spans="2:41" ht="15.5">
      <c r="B975" s="125"/>
      <c r="C975" s="126"/>
      <c r="D975" s="126"/>
      <c r="E975" s="127"/>
      <c r="F975" s="128"/>
      <c r="G975" s="126"/>
      <c r="H975" s="127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5"/>
      <c r="X975" s="126"/>
      <c r="Y975" s="126"/>
      <c r="Z975" s="126"/>
      <c r="AA975" s="126"/>
      <c r="AB975" s="126"/>
      <c r="AC975" s="126"/>
      <c r="AD975" s="126"/>
      <c r="AE975" s="127"/>
      <c r="AF975" s="126"/>
      <c r="AG975" s="126"/>
      <c r="AH975" s="127"/>
      <c r="AI975" s="126"/>
      <c r="AJ975" s="127"/>
      <c r="AK975" s="127"/>
      <c r="AL975" s="129"/>
      <c r="AM975" s="129"/>
      <c r="AN975" s="44"/>
      <c r="AO975" s="44"/>
    </row>
    <row r="976" spans="2:41" ht="15.5">
      <c r="B976" s="125"/>
      <c r="C976" s="126"/>
      <c r="D976" s="126"/>
      <c r="E976" s="127"/>
      <c r="F976" s="128"/>
      <c r="G976" s="126"/>
      <c r="H976" s="127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5"/>
      <c r="X976" s="126"/>
      <c r="Y976" s="126"/>
      <c r="Z976" s="126"/>
      <c r="AA976" s="126"/>
      <c r="AB976" s="126"/>
      <c r="AC976" s="126"/>
      <c r="AD976" s="126"/>
      <c r="AE976" s="127"/>
      <c r="AF976" s="126"/>
      <c r="AG976" s="126"/>
      <c r="AH976" s="127"/>
      <c r="AI976" s="126"/>
      <c r="AJ976" s="127"/>
      <c r="AK976" s="127"/>
      <c r="AL976" s="129"/>
      <c r="AM976" s="129"/>
      <c r="AN976" s="44"/>
      <c r="AO976" s="44"/>
    </row>
    <row r="977" spans="2:41" ht="15.5">
      <c r="B977" s="125"/>
      <c r="C977" s="126"/>
      <c r="D977" s="126"/>
      <c r="E977" s="127"/>
      <c r="F977" s="128"/>
      <c r="G977" s="126"/>
      <c r="H977" s="127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5"/>
      <c r="X977" s="126"/>
      <c r="Y977" s="126"/>
      <c r="Z977" s="126"/>
      <c r="AA977" s="126"/>
      <c r="AB977" s="126"/>
      <c r="AC977" s="126"/>
      <c r="AD977" s="126"/>
      <c r="AE977" s="127"/>
      <c r="AF977" s="126"/>
      <c r="AG977" s="126"/>
      <c r="AH977" s="127"/>
      <c r="AI977" s="126"/>
      <c r="AJ977" s="127"/>
      <c r="AK977" s="127"/>
      <c r="AL977" s="129"/>
      <c r="AM977" s="129"/>
      <c r="AN977" s="44"/>
      <c r="AO977" s="44"/>
    </row>
    <row r="978" spans="2:41" ht="15.5">
      <c r="B978" s="125"/>
      <c r="C978" s="126"/>
      <c r="D978" s="126"/>
      <c r="E978" s="127"/>
      <c r="F978" s="128"/>
      <c r="G978" s="126"/>
      <c r="H978" s="127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5"/>
      <c r="X978" s="126"/>
      <c r="Y978" s="126"/>
      <c r="Z978" s="126"/>
      <c r="AA978" s="126"/>
      <c r="AB978" s="126"/>
      <c r="AC978" s="126"/>
      <c r="AD978" s="126"/>
      <c r="AE978" s="127"/>
      <c r="AF978" s="126"/>
      <c r="AG978" s="126"/>
      <c r="AH978" s="127"/>
      <c r="AI978" s="126"/>
      <c r="AJ978" s="127"/>
      <c r="AK978" s="127"/>
      <c r="AL978" s="129"/>
      <c r="AM978" s="129"/>
      <c r="AN978" s="44"/>
      <c r="AO978" s="44"/>
    </row>
    <row r="979" spans="2:41" ht="15.5">
      <c r="B979" s="125"/>
      <c r="C979" s="126"/>
      <c r="D979" s="126"/>
      <c r="E979" s="127"/>
      <c r="F979" s="128"/>
      <c r="G979" s="126"/>
      <c r="H979" s="127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5"/>
      <c r="X979" s="126"/>
      <c r="Y979" s="126"/>
      <c r="Z979" s="126"/>
      <c r="AA979" s="126"/>
      <c r="AB979" s="126"/>
      <c r="AC979" s="126"/>
      <c r="AD979" s="126"/>
      <c r="AE979" s="127"/>
      <c r="AF979" s="126"/>
      <c r="AG979" s="126"/>
      <c r="AH979" s="127"/>
      <c r="AI979" s="126"/>
      <c r="AJ979" s="127"/>
      <c r="AK979" s="127"/>
      <c r="AL979" s="129"/>
      <c r="AM979" s="129"/>
      <c r="AN979" s="44"/>
      <c r="AO979" s="44"/>
    </row>
    <row r="980" spans="2:41" ht="15.5">
      <c r="B980" s="125"/>
      <c r="C980" s="126"/>
      <c r="D980" s="126"/>
      <c r="E980" s="127"/>
      <c r="F980" s="128"/>
      <c r="G980" s="126"/>
      <c r="H980" s="127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5"/>
      <c r="X980" s="126"/>
      <c r="Y980" s="126"/>
      <c r="Z980" s="126"/>
      <c r="AA980" s="126"/>
      <c r="AB980" s="126"/>
      <c r="AC980" s="126"/>
      <c r="AD980" s="126"/>
      <c r="AE980" s="127"/>
      <c r="AF980" s="126"/>
      <c r="AG980" s="126"/>
      <c r="AH980" s="127"/>
      <c r="AI980" s="126"/>
      <c r="AJ980" s="127"/>
      <c r="AK980" s="127"/>
      <c r="AL980" s="129"/>
      <c r="AM980" s="129"/>
      <c r="AN980" s="44"/>
      <c r="AO980" s="44"/>
    </row>
    <row r="981" spans="2:41" ht="15.5">
      <c r="B981" s="125"/>
      <c r="C981" s="126"/>
      <c r="D981" s="126"/>
      <c r="E981" s="127"/>
      <c r="F981" s="128"/>
      <c r="G981" s="126"/>
      <c r="H981" s="127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5"/>
      <c r="X981" s="126"/>
      <c r="Y981" s="126"/>
      <c r="Z981" s="126"/>
      <c r="AA981" s="126"/>
      <c r="AB981" s="126"/>
      <c r="AC981" s="126"/>
      <c r="AD981" s="126"/>
      <c r="AE981" s="127"/>
      <c r="AF981" s="126"/>
      <c r="AG981" s="126"/>
      <c r="AH981" s="127"/>
      <c r="AI981" s="126"/>
      <c r="AJ981" s="127"/>
      <c r="AK981" s="127"/>
      <c r="AL981" s="129"/>
      <c r="AM981" s="129"/>
      <c r="AN981" s="44"/>
      <c r="AO981" s="44"/>
    </row>
    <row r="982" spans="2:41" ht="15.5">
      <c r="B982" s="125"/>
      <c r="C982" s="126"/>
      <c r="D982" s="126"/>
      <c r="E982" s="127"/>
      <c r="F982" s="128"/>
      <c r="G982" s="126"/>
      <c r="H982" s="127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5"/>
      <c r="X982" s="126"/>
      <c r="Y982" s="126"/>
      <c r="Z982" s="126"/>
      <c r="AA982" s="126"/>
      <c r="AB982" s="126"/>
      <c r="AC982" s="126"/>
      <c r="AD982" s="126"/>
      <c r="AE982" s="127"/>
      <c r="AF982" s="126"/>
      <c r="AG982" s="126"/>
      <c r="AH982" s="127"/>
      <c r="AI982" s="126"/>
      <c r="AJ982" s="127"/>
      <c r="AK982" s="127"/>
      <c r="AL982" s="129"/>
      <c r="AM982" s="129"/>
      <c r="AN982" s="44"/>
      <c r="AO982" s="44"/>
    </row>
    <row r="983" spans="2:41" ht="15.5">
      <c r="B983" s="125"/>
      <c r="C983" s="126"/>
      <c r="D983" s="126"/>
      <c r="E983" s="127"/>
      <c r="F983" s="128"/>
      <c r="G983" s="126"/>
      <c r="H983" s="127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5"/>
      <c r="X983" s="126"/>
      <c r="Y983" s="126"/>
      <c r="Z983" s="126"/>
      <c r="AA983" s="126"/>
      <c r="AB983" s="126"/>
      <c r="AC983" s="126"/>
      <c r="AD983" s="126"/>
      <c r="AE983" s="127"/>
      <c r="AF983" s="126"/>
      <c r="AG983" s="126"/>
      <c r="AH983" s="127"/>
      <c r="AI983" s="126"/>
      <c r="AJ983" s="127"/>
      <c r="AK983" s="127"/>
      <c r="AL983" s="129"/>
      <c r="AM983" s="129"/>
      <c r="AN983" s="44"/>
      <c r="AO983" s="44"/>
    </row>
    <row r="984" spans="2:41" ht="15.5">
      <c r="B984" s="125"/>
      <c r="C984" s="126"/>
      <c r="D984" s="126"/>
      <c r="E984" s="127"/>
      <c r="F984" s="128"/>
      <c r="G984" s="126"/>
      <c r="H984" s="127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5"/>
      <c r="X984" s="126"/>
      <c r="Y984" s="126"/>
      <c r="Z984" s="126"/>
      <c r="AA984" s="126"/>
      <c r="AB984" s="126"/>
      <c r="AC984" s="126"/>
      <c r="AD984" s="126"/>
      <c r="AE984" s="127"/>
      <c r="AF984" s="126"/>
      <c r="AG984" s="126"/>
      <c r="AH984" s="127"/>
      <c r="AI984" s="126"/>
      <c r="AJ984" s="127"/>
      <c r="AK984" s="127"/>
      <c r="AL984" s="129"/>
      <c r="AM984" s="129"/>
      <c r="AN984" s="44"/>
      <c r="AO984" s="44"/>
    </row>
    <row r="985" spans="2:41" ht="15.5">
      <c r="B985" s="125"/>
      <c r="C985" s="126"/>
      <c r="D985" s="126"/>
      <c r="E985" s="127"/>
      <c r="F985" s="128"/>
      <c r="G985" s="126"/>
      <c r="H985" s="127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5"/>
      <c r="X985" s="126"/>
      <c r="Y985" s="126"/>
      <c r="Z985" s="126"/>
      <c r="AA985" s="126"/>
      <c r="AB985" s="126"/>
      <c r="AC985" s="126"/>
      <c r="AD985" s="126"/>
      <c r="AE985" s="127"/>
      <c r="AF985" s="126"/>
      <c r="AG985" s="126"/>
      <c r="AH985" s="127"/>
      <c r="AI985" s="126"/>
      <c r="AJ985" s="127"/>
      <c r="AK985" s="127"/>
      <c r="AL985" s="129"/>
      <c r="AM985" s="129"/>
      <c r="AN985" s="44"/>
      <c r="AO985" s="44"/>
    </row>
    <row r="986" spans="2:41" ht="15.5">
      <c r="B986" s="125"/>
      <c r="C986" s="126"/>
      <c r="D986" s="126"/>
      <c r="E986" s="127"/>
      <c r="F986" s="128"/>
      <c r="G986" s="126"/>
      <c r="H986" s="127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5"/>
      <c r="X986" s="126"/>
      <c r="Y986" s="126"/>
      <c r="Z986" s="126"/>
      <c r="AA986" s="126"/>
      <c r="AB986" s="126"/>
      <c r="AC986" s="126"/>
      <c r="AD986" s="126"/>
      <c r="AE986" s="127"/>
      <c r="AF986" s="126"/>
      <c r="AG986" s="126"/>
      <c r="AH986" s="127"/>
      <c r="AI986" s="126"/>
      <c r="AJ986" s="127"/>
      <c r="AK986" s="127"/>
      <c r="AL986" s="129"/>
      <c r="AM986" s="129"/>
      <c r="AN986" s="44"/>
      <c r="AO986" s="44"/>
    </row>
    <row r="987" spans="2:41" ht="15.5">
      <c r="B987" s="125"/>
      <c r="C987" s="126"/>
      <c r="D987" s="126"/>
      <c r="E987" s="127"/>
      <c r="F987" s="128"/>
      <c r="G987" s="126"/>
      <c r="H987" s="127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5"/>
      <c r="X987" s="126"/>
      <c r="Y987" s="126"/>
      <c r="Z987" s="126"/>
      <c r="AA987" s="126"/>
      <c r="AB987" s="126"/>
      <c r="AC987" s="126"/>
      <c r="AD987" s="126"/>
      <c r="AE987" s="127"/>
      <c r="AF987" s="126"/>
      <c r="AG987" s="126"/>
      <c r="AH987" s="127"/>
      <c r="AI987" s="126"/>
      <c r="AJ987" s="127"/>
      <c r="AK987" s="127"/>
      <c r="AL987" s="129"/>
      <c r="AM987" s="129"/>
      <c r="AN987" s="44"/>
      <c r="AO987" s="44"/>
    </row>
    <row r="988" spans="2:41" ht="15.5">
      <c r="B988" s="125"/>
      <c r="C988" s="126"/>
      <c r="D988" s="126"/>
      <c r="E988" s="127"/>
      <c r="F988" s="128"/>
      <c r="G988" s="126"/>
      <c r="H988" s="127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5"/>
      <c r="X988" s="126"/>
      <c r="Y988" s="126"/>
      <c r="Z988" s="126"/>
      <c r="AA988" s="126"/>
      <c r="AB988" s="126"/>
      <c r="AC988" s="126"/>
      <c r="AD988" s="126"/>
      <c r="AE988" s="127"/>
      <c r="AF988" s="126"/>
      <c r="AG988" s="126"/>
      <c r="AH988" s="127"/>
      <c r="AI988" s="126"/>
      <c r="AJ988" s="127"/>
      <c r="AK988" s="127"/>
      <c r="AL988" s="129"/>
      <c r="AM988" s="129"/>
      <c r="AN988" s="44"/>
      <c r="AO988" s="44"/>
    </row>
    <row r="989" spans="2:41" ht="15.5">
      <c r="B989" s="125"/>
      <c r="C989" s="126"/>
      <c r="D989" s="126"/>
      <c r="E989" s="127"/>
      <c r="F989" s="128"/>
      <c r="G989" s="126"/>
      <c r="H989" s="127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5"/>
      <c r="X989" s="126"/>
      <c r="Y989" s="126"/>
      <c r="Z989" s="126"/>
      <c r="AA989" s="126"/>
      <c r="AB989" s="126"/>
      <c r="AC989" s="126"/>
      <c r="AD989" s="126"/>
      <c r="AE989" s="127"/>
      <c r="AF989" s="126"/>
      <c r="AG989" s="126"/>
      <c r="AH989" s="127"/>
      <c r="AI989" s="126"/>
      <c r="AJ989" s="127"/>
      <c r="AK989" s="127"/>
      <c r="AL989" s="129"/>
      <c r="AM989" s="129"/>
      <c r="AN989" s="44"/>
      <c r="AO989" s="44"/>
    </row>
    <row r="990" spans="2:41" ht="15.5">
      <c r="B990" s="125"/>
      <c r="C990" s="126"/>
      <c r="D990" s="126"/>
      <c r="E990" s="127"/>
      <c r="F990" s="128"/>
      <c r="G990" s="126"/>
      <c r="H990" s="127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5"/>
      <c r="X990" s="126"/>
      <c r="Y990" s="126"/>
      <c r="Z990" s="126"/>
      <c r="AA990" s="126"/>
      <c r="AB990" s="126"/>
      <c r="AC990" s="126"/>
      <c r="AD990" s="126"/>
      <c r="AE990" s="127"/>
      <c r="AF990" s="126"/>
      <c r="AG990" s="126"/>
      <c r="AH990" s="127"/>
      <c r="AI990" s="126"/>
      <c r="AJ990" s="127"/>
      <c r="AK990" s="127"/>
      <c r="AL990" s="129"/>
      <c r="AM990" s="129"/>
      <c r="AN990" s="44"/>
      <c r="AO990" s="44"/>
    </row>
    <row r="991" spans="2:41" ht="15.5">
      <c r="B991" s="125"/>
      <c r="C991" s="126"/>
      <c r="D991" s="126"/>
      <c r="E991" s="127"/>
      <c r="F991" s="128"/>
      <c r="G991" s="126"/>
      <c r="H991" s="127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5"/>
      <c r="X991" s="126"/>
      <c r="Y991" s="126"/>
      <c r="Z991" s="126"/>
      <c r="AA991" s="126"/>
      <c r="AB991" s="126"/>
      <c r="AC991" s="126"/>
      <c r="AD991" s="126"/>
      <c r="AE991" s="127"/>
      <c r="AF991" s="126"/>
      <c r="AG991" s="126"/>
      <c r="AH991" s="127"/>
      <c r="AI991" s="126"/>
      <c r="AJ991" s="127"/>
      <c r="AK991" s="127"/>
      <c r="AL991" s="129"/>
      <c r="AM991" s="129"/>
      <c r="AN991" s="44"/>
      <c r="AO991" s="44"/>
    </row>
    <row r="992" spans="2:41" ht="15.5">
      <c r="B992" s="125"/>
      <c r="C992" s="126"/>
      <c r="D992" s="126"/>
      <c r="E992" s="127"/>
      <c r="F992" s="128"/>
      <c r="G992" s="126"/>
      <c r="H992" s="127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5"/>
      <c r="X992" s="126"/>
      <c r="Y992" s="126"/>
      <c r="Z992" s="126"/>
      <c r="AA992" s="126"/>
      <c r="AB992" s="126"/>
      <c r="AC992" s="126"/>
      <c r="AD992" s="126"/>
      <c r="AE992" s="127"/>
      <c r="AF992" s="126"/>
      <c r="AG992" s="126"/>
      <c r="AH992" s="127"/>
      <c r="AI992" s="126"/>
      <c r="AJ992" s="127"/>
      <c r="AK992" s="127"/>
      <c r="AL992" s="129"/>
      <c r="AM992" s="129"/>
      <c r="AN992" s="44"/>
      <c r="AO992" s="44"/>
    </row>
    <row r="993" spans="2:41" ht="15.5">
      <c r="B993" s="125"/>
      <c r="C993" s="126"/>
      <c r="D993" s="126"/>
      <c r="E993" s="127"/>
      <c r="F993" s="128"/>
      <c r="G993" s="126"/>
      <c r="H993" s="127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5"/>
      <c r="X993" s="126"/>
      <c r="Y993" s="126"/>
      <c r="Z993" s="126"/>
      <c r="AA993" s="126"/>
      <c r="AB993" s="126"/>
      <c r="AC993" s="126"/>
      <c r="AD993" s="126"/>
      <c r="AE993" s="127"/>
      <c r="AF993" s="126"/>
      <c r="AG993" s="126"/>
      <c r="AH993" s="127"/>
      <c r="AI993" s="126"/>
      <c r="AJ993" s="127"/>
      <c r="AK993" s="127"/>
      <c r="AL993" s="129"/>
      <c r="AM993" s="129"/>
      <c r="AN993" s="44"/>
      <c r="AO993" s="44"/>
    </row>
    <row r="994" spans="2:41" ht="15.5">
      <c r="B994" s="125"/>
      <c r="C994" s="126"/>
      <c r="D994" s="126"/>
      <c r="E994" s="127"/>
      <c r="F994" s="128"/>
      <c r="G994" s="126"/>
      <c r="H994" s="127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5"/>
      <c r="X994" s="126"/>
      <c r="Y994" s="126"/>
      <c r="Z994" s="126"/>
      <c r="AA994" s="126"/>
      <c r="AB994" s="126"/>
      <c r="AC994" s="126"/>
      <c r="AD994" s="126"/>
      <c r="AE994" s="127"/>
      <c r="AF994" s="126"/>
      <c r="AG994" s="126"/>
      <c r="AH994" s="127"/>
      <c r="AI994" s="126"/>
      <c r="AJ994" s="127"/>
      <c r="AK994" s="127"/>
      <c r="AL994" s="129"/>
      <c r="AM994" s="129"/>
      <c r="AN994" s="44"/>
      <c r="AO994" s="44"/>
    </row>
    <row r="995" spans="2:41" ht="15.5">
      <c r="B995" s="125"/>
      <c r="C995" s="126"/>
      <c r="D995" s="126"/>
      <c r="E995" s="127"/>
      <c r="F995" s="128"/>
      <c r="G995" s="126"/>
      <c r="H995" s="127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5"/>
      <c r="X995" s="126"/>
      <c r="Y995" s="126"/>
      <c r="Z995" s="126"/>
      <c r="AA995" s="126"/>
      <c r="AB995" s="126"/>
      <c r="AC995" s="126"/>
      <c r="AD995" s="126"/>
      <c r="AE995" s="127"/>
      <c r="AF995" s="126"/>
      <c r="AG995" s="126"/>
      <c r="AH995" s="127"/>
      <c r="AI995" s="126"/>
      <c r="AJ995" s="127"/>
      <c r="AK995" s="127"/>
      <c r="AL995" s="129"/>
      <c r="AM995" s="129"/>
      <c r="AN995" s="44"/>
      <c r="AO995" s="44"/>
    </row>
    <row r="996" spans="2:41" ht="15.5">
      <c r="B996" s="125"/>
      <c r="C996" s="126"/>
      <c r="D996" s="126"/>
      <c r="E996" s="127"/>
      <c r="F996" s="128"/>
      <c r="G996" s="126"/>
      <c r="H996" s="127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5"/>
      <c r="X996" s="126"/>
      <c r="Y996" s="126"/>
      <c r="Z996" s="126"/>
      <c r="AA996" s="126"/>
      <c r="AB996" s="126"/>
      <c r="AC996" s="126"/>
      <c r="AD996" s="126"/>
      <c r="AE996" s="127"/>
      <c r="AF996" s="126"/>
      <c r="AG996" s="126"/>
      <c r="AH996" s="127"/>
      <c r="AI996" s="126"/>
      <c r="AJ996" s="127"/>
      <c r="AK996" s="127"/>
      <c r="AL996" s="129"/>
      <c r="AM996" s="129"/>
      <c r="AN996" s="44"/>
      <c r="AO996" s="44"/>
    </row>
    <row r="997" spans="2:41" ht="15.5">
      <c r="B997" s="125"/>
      <c r="C997" s="126"/>
      <c r="D997" s="126"/>
      <c r="E997" s="127"/>
      <c r="F997" s="128"/>
      <c r="G997" s="126"/>
      <c r="H997" s="127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5"/>
      <c r="X997" s="126"/>
      <c r="Y997" s="126"/>
      <c r="Z997" s="126"/>
      <c r="AA997" s="126"/>
      <c r="AB997" s="126"/>
      <c r="AC997" s="126"/>
      <c r="AD997" s="126"/>
      <c r="AE997" s="127"/>
      <c r="AF997" s="126"/>
      <c r="AG997" s="126"/>
      <c r="AH997" s="127"/>
      <c r="AI997" s="126"/>
      <c r="AJ997" s="127"/>
      <c r="AK997" s="127"/>
      <c r="AL997" s="129"/>
      <c r="AM997" s="129"/>
      <c r="AN997" s="44"/>
      <c r="AO997" s="44"/>
    </row>
    <row r="998" spans="2:41" ht="15.5">
      <c r="B998" s="125"/>
      <c r="C998" s="126"/>
      <c r="D998" s="126"/>
      <c r="E998" s="127"/>
      <c r="F998" s="128"/>
      <c r="G998" s="126"/>
      <c r="H998" s="127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5"/>
      <c r="X998" s="126"/>
      <c r="Y998" s="126"/>
      <c r="Z998" s="126"/>
      <c r="AA998" s="126"/>
      <c r="AB998" s="126"/>
      <c r="AC998" s="126"/>
      <c r="AD998" s="126"/>
      <c r="AE998" s="127"/>
      <c r="AF998" s="126"/>
      <c r="AG998" s="126"/>
      <c r="AH998" s="127"/>
      <c r="AI998" s="126"/>
      <c r="AJ998" s="127"/>
      <c r="AK998" s="127"/>
      <c r="AL998" s="129"/>
      <c r="AM998" s="129"/>
      <c r="AN998" s="44"/>
      <c r="AO998" s="44"/>
    </row>
    <row r="999" spans="2:41" ht="15.5">
      <c r="B999" s="125"/>
      <c r="C999" s="126"/>
      <c r="D999" s="126"/>
      <c r="E999" s="127"/>
      <c r="F999" s="128"/>
      <c r="G999" s="126"/>
      <c r="H999" s="127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5"/>
      <c r="X999" s="126"/>
      <c r="Y999" s="126"/>
      <c r="Z999" s="126"/>
      <c r="AA999" s="126"/>
      <c r="AB999" s="126"/>
      <c r="AC999" s="126"/>
      <c r="AD999" s="126"/>
      <c r="AE999" s="127"/>
      <c r="AF999" s="126"/>
      <c r="AG999" s="126"/>
      <c r="AH999" s="127"/>
      <c r="AI999" s="126"/>
      <c r="AJ999" s="127"/>
      <c r="AK999" s="127"/>
      <c r="AL999" s="129"/>
      <c r="AM999" s="129"/>
      <c r="AN999" s="44"/>
      <c r="AO999" s="44"/>
    </row>
    <row r="1000" spans="2:41" ht="15.5">
      <c r="B1000" s="125"/>
      <c r="C1000" s="126"/>
      <c r="D1000" s="126"/>
      <c r="E1000" s="127"/>
      <c r="F1000" s="128"/>
      <c r="G1000" s="126"/>
      <c r="H1000" s="127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5"/>
      <c r="X1000" s="126"/>
      <c r="Y1000" s="126"/>
      <c r="Z1000" s="126"/>
      <c r="AA1000" s="126"/>
      <c r="AB1000" s="126"/>
      <c r="AC1000" s="126"/>
      <c r="AD1000" s="126"/>
      <c r="AE1000" s="127"/>
      <c r="AF1000" s="126"/>
      <c r="AG1000" s="126"/>
      <c r="AH1000" s="127"/>
      <c r="AI1000" s="126"/>
      <c r="AJ1000" s="127"/>
      <c r="AK1000" s="127"/>
      <c r="AL1000" s="129"/>
      <c r="AM1000" s="129"/>
      <c r="AN1000" s="44"/>
      <c r="AO1000" s="44"/>
    </row>
    <row r="1001" spans="2:41" ht="15.5">
      <c r="B1001" s="125"/>
      <c r="C1001" s="126"/>
      <c r="D1001" s="126"/>
      <c r="E1001" s="127"/>
      <c r="F1001" s="128"/>
      <c r="G1001" s="126"/>
      <c r="H1001" s="127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5"/>
      <c r="X1001" s="126"/>
      <c r="Y1001" s="126"/>
      <c r="Z1001" s="126"/>
      <c r="AA1001" s="126"/>
      <c r="AB1001" s="126"/>
      <c r="AC1001" s="126"/>
      <c r="AD1001" s="126"/>
      <c r="AE1001" s="127"/>
      <c r="AF1001" s="126"/>
      <c r="AG1001" s="126"/>
      <c r="AH1001" s="127"/>
      <c r="AI1001" s="126"/>
      <c r="AJ1001" s="127"/>
      <c r="AK1001" s="127"/>
      <c r="AL1001" s="129"/>
      <c r="AM1001" s="129"/>
      <c r="AN1001" s="44"/>
      <c r="AO1001" s="44"/>
    </row>
    <row r="1002" spans="2:41" ht="15.5">
      <c r="B1002" s="125"/>
      <c r="C1002" s="126"/>
      <c r="D1002" s="126"/>
      <c r="E1002" s="127"/>
      <c r="F1002" s="128"/>
      <c r="G1002" s="126"/>
      <c r="H1002" s="127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126"/>
      <c r="V1002" s="126"/>
      <c r="W1002" s="125"/>
      <c r="X1002" s="126"/>
      <c r="Y1002" s="126"/>
      <c r="Z1002" s="126"/>
      <c r="AA1002" s="126"/>
      <c r="AB1002" s="126"/>
      <c r="AC1002" s="126"/>
      <c r="AD1002" s="126"/>
      <c r="AE1002" s="127"/>
      <c r="AF1002" s="126"/>
      <c r="AG1002" s="126"/>
      <c r="AH1002" s="127"/>
      <c r="AI1002" s="126"/>
      <c r="AJ1002" s="127"/>
      <c r="AK1002" s="127"/>
      <c r="AL1002" s="129"/>
      <c r="AM1002" s="129"/>
      <c r="AN1002" s="44"/>
      <c r="AO1002" s="44"/>
    </row>
    <row r="1003" spans="2:41" ht="15.5">
      <c r="B1003" s="125"/>
      <c r="C1003" s="126"/>
      <c r="D1003" s="126"/>
      <c r="E1003" s="127"/>
      <c r="F1003" s="128"/>
      <c r="G1003" s="126"/>
      <c r="H1003" s="127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126"/>
      <c r="V1003" s="126"/>
      <c r="W1003" s="125"/>
      <c r="X1003" s="126"/>
      <c r="Y1003" s="126"/>
      <c r="Z1003" s="126"/>
      <c r="AA1003" s="126"/>
      <c r="AB1003" s="126"/>
      <c r="AC1003" s="126"/>
      <c r="AD1003" s="126"/>
      <c r="AE1003" s="127"/>
      <c r="AF1003" s="126"/>
      <c r="AG1003" s="126"/>
      <c r="AH1003" s="127"/>
      <c r="AI1003" s="126"/>
      <c r="AJ1003" s="127"/>
      <c r="AK1003" s="127"/>
      <c r="AL1003" s="129"/>
      <c r="AM1003" s="129"/>
      <c r="AN1003" s="44"/>
      <c r="AO1003" s="44"/>
    </row>
    <row r="1004" spans="2:41" ht="15.5">
      <c r="B1004" s="125"/>
      <c r="C1004" s="126"/>
      <c r="D1004" s="126"/>
      <c r="E1004" s="127"/>
      <c r="F1004" s="128"/>
      <c r="G1004" s="126"/>
      <c r="H1004" s="127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126"/>
      <c r="V1004" s="126"/>
      <c r="W1004" s="125"/>
      <c r="X1004" s="126"/>
      <c r="Y1004" s="126"/>
      <c r="Z1004" s="126"/>
      <c r="AA1004" s="126"/>
      <c r="AB1004" s="126"/>
      <c r="AC1004" s="126"/>
      <c r="AD1004" s="126"/>
      <c r="AE1004" s="127"/>
      <c r="AF1004" s="126"/>
      <c r="AG1004" s="126"/>
      <c r="AH1004" s="127"/>
      <c r="AI1004" s="126"/>
      <c r="AJ1004" s="127"/>
      <c r="AK1004" s="127"/>
      <c r="AL1004" s="129"/>
      <c r="AM1004" s="129"/>
      <c r="AN1004" s="44"/>
      <c r="AO1004" s="44"/>
    </row>
    <row r="1005" spans="2:41" ht="15.5">
      <c r="B1005" s="125"/>
      <c r="C1005" s="126"/>
      <c r="D1005" s="126"/>
      <c r="E1005" s="127"/>
      <c r="F1005" s="128"/>
      <c r="G1005" s="126"/>
      <c r="H1005" s="127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126"/>
      <c r="V1005" s="126"/>
      <c r="W1005" s="125"/>
      <c r="X1005" s="126"/>
      <c r="Y1005" s="126"/>
      <c r="Z1005" s="126"/>
      <c r="AA1005" s="126"/>
      <c r="AB1005" s="126"/>
      <c r="AC1005" s="126"/>
      <c r="AD1005" s="126"/>
      <c r="AE1005" s="127"/>
      <c r="AF1005" s="126"/>
      <c r="AG1005" s="126"/>
      <c r="AH1005" s="127"/>
      <c r="AI1005" s="126"/>
      <c r="AJ1005" s="127"/>
      <c r="AK1005" s="127"/>
      <c r="AL1005" s="129"/>
      <c r="AM1005" s="129"/>
      <c r="AN1005" s="44"/>
      <c r="AO1005" s="44"/>
    </row>
    <row r="1006" spans="2:41" ht="15.5">
      <c r="B1006" s="125"/>
      <c r="C1006" s="126"/>
      <c r="D1006" s="126"/>
      <c r="E1006" s="127"/>
      <c r="F1006" s="128"/>
      <c r="G1006" s="126"/>
      <c r="H1006" s="127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126"/>
      <c r="V1006" s="126"/>
      <c r="W1006" s="125"/>
      <c r="X1006" s="126"/>
      <c r="Y1006" s="126"/>
      <c r="Z1006" s="126"/>
      <c r="AA1006" s="126"/>
      <c r="AB1006" s="126"/>
      <c r="AC1006" s="126"/>
      <c r="AD1006" s="126"/>
      <c r="AE1006" s="127"/>
      <c r="AF1006" s="126"/>
      <c r="AG1006" s="126"/>
      <c r="AH1006" s="127"/>
      <c r="AI1006" s="126"/>
      <c r="AJ1006" s="127"/>
      <c r="AK1006" s="127"/>
      <c r="AL1006" s="129"/>
      <c r="AM1006" s="129"/>
      <c r="AN1006" s="44"/>
      <c r="AO1006" s="44"/>
    </row>
    <row r="1007" spans="2:41" ht="15.5">
      <c r="B1007" s="125"/>
      <c r="C1007" s="126"/>
      <c r="D1007" s="126"/>
      <c r="E1007" s="127"/>
      <c r="F1007" s="128"/>
      <c r="G1007" s="126"/>
      <c r="H1007" s="127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126"/>
      <c r="V1007" s="126"/>
      <c r="W1007" s="125"/>
      <c r="X1007" s="126"/>
      <c r="Y1007" s="126"/>
      <c r="Z1007" s="126"/>
      <c r="AA1007" s="126"/>
      <c r="AB1007" s="126"/>
      <c r="AC1007" s="126"/>
      <c r="AD1007" s="126"/>
      <c r="AE1007" s="127"/>
      <c r="AF1007" s="126"/>
      <c r="AG1007" s="126"/>
      <c r="AH1007" s="127"/>
      <c r="AI1007" s="126"/>
      <c r="AJ1007" s="127"/>
      <c r="AK1007" s="127"/>
      <c r="AL1007" s="129"/>
      <c r="AM1007" s="129"/>
      <c r="AN1007" s="44"/>
      <c r="AO1007" s="44"/>
    </row>
    <row r="1008" spans="2:41" ht="15.5">
      <c r="B1008" s="125"/>
      <c r="C1008" s="126"/>
      <c r="D1008" s="126"/>
      <c r="E1008" s="127"/>
      <c r="F1008" s="128"/>
      <c r="G1008" s="126"/>
      <c r="H1008" s="127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126"/>
      <c r="V1008" s="126"/>
      <c r="W1008" s="125"/>
      <c r="X1008" s="126"/>
      <c r="Y1008" s="126"/>
      <c r="Z1008" s="126"/>
      <c r="AA1008" s="126"/>
      <c r="AB1008" s="126"/>
      <c r="AC1008" s="126"/>
      <c r="AD1008" s="126"/>
      <c r="AE1008" s="127"/>
      <c r="AF1008" s="126"/>
      <c r="AG1008" s="126"/>
      <c r="AH1008" s="127"/>
      <c r="AI1008" s="126"/>
      <c r="AJ1008" s="127"/>
      <c r="AK1008" s="127"/>
      <c r="AL1008" s="129"/>
      <c r="AM1008" s="129"/>
      <c r="AN1008" s="44"/>
      <c r="AO1008" s="44"/>
    </row>
    <row r="1009" spans="2:41" ht="15.5">
      <c r="B1009" s="125"/>
      <c r="C1009" s="126"/>
      <c r="D1009" s="126"/>
      <c r="E1009" s="127"/>
      <c r="F1009" s="128"/>
      <c r="G1009" s="126"/>
      <c r="H1009" s="127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126"/>
      <c r="V1009" s="126"/>
      <c r="W1009" s="125"/>
      <c r="X1009" s="126"/>
      <c r="Y1009" s="126"/>
      <c r="Z1009" s="126"/>
      <c r="AA1009" s="126"/>
      <c r="AB1009" s="126"/>
      <c r="AC1009" s="126"/>
      <c r="AD1009" s="126"/>
      <c r="AE1009" s="127"/>
      <c r="AF1009" s="126"/>
      <c r="AG1009" s="126"/>
      <c r="AH1009" s="127"/>
      <c r="AI1009" s="126"/>
      <c r="AJ1009" s="127"/>
      <c r="AK1009" s="127"/>
      <c r="AL1009" s="129"/>
      <c r="AM1009" s="129"/>
      <c r="AN1009" s="44"/>
      <c r="AO1009" s="44"/>
    </row>
    <row r="1010" spans="2:41" ht="15.5">
      <c r="B1010" s="125"/>
      <c r="C1010" s="126"/>
      <c r="D1010" s="126"/>
      <c r="E1010" s="127"/>
      <c r="F1010" s="128"/>
      <c r="G1010" s="126"/>
      <c r="H1010" s="127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126"/>
      <c r="V1010" s="126"/>
      <c r="W1010" s="125"/>
      <c r="X1010" s="126"/>
      <c r="Y1010" s="126"/>
      <c r="Z1010" s="126"/>
      <c r="AA1010" s="126"/>
      <c r="AB1010" s="126"/>
      <c r="AC1010" s="126"/>
      <c r="AD1010" s="126"/>
      <c r="AE1010" s="127"/>
      <c r="AF1010" s="126"/>
      <c r="AG1010" s="126"/>
      <c r="AH1010" s="127"/>
      <c r="AI1010" s="126"/>
      <c r="AJ1010" s="127"/>
      <c r="AK1010" s="127"/>
      <c r="AL1010" s="129"/>
      <c r="AM1010" s="129"/>
      <c r="AN1010" s="44"/>
      <c r="AO1010" s="44"/>
    </row>
    <row r="1011" spans="2:41" ht="15.5">
      <c r="B1011" s="125"/>
      <c r="C1011" s="126"/>
      <c r="D1011" s="126"/>
      <c r="E1011" s="127"/>
      <c r="F1011" s="128"/>
      <c r="G1011" s="126"/>
      <c r="H1011" s="127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126"/>
      <c r="V1011" s="126"/>
      <c r="W1011" s="125"/>
      <c r="X1011" s="126"/>
      <c r="Y1011" s="126"/>
      <c r="Z1011" s="126"/>
      <c r="AA1011" s="126"/>
      <c r="AB1011" s="126"/>
      <c r="AC1011" s="126"/>
      <c r="AD1011" s="126"/>
      <c r="AE1011" s="127"/>
      <c r="AF1011" s="126"/>
      <c r="AG1011" s="126"/>
      <c r="AH1011" s="127"/>
      <c r="AI1011" s="126"/>
      <c r="AJ1011" s="127"/>
      <c r="AK1011" s="127"/>
      <c r="AL1011" s="129"/>
      <c r="AM1011" s="129"/>
      <c r="AN1011" s="44"/>
      <c r="AO1011" s="44"/>
    </row>
    <row r="1012" spans="2:41" ht="15.5">
      <c r="B1012" s="125"/>
      <c r="C1012" s="126"/>
      <c r="D1012" s="126"/>
      <c r="E1012" s="127"/>
      <c r="F1012" s="128"/>
      <c r="G1012" s="126"/>
      <c r="H1012" s="127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126"/>
      <c r="V1012" s="126"/>
      <c r="W1012" s="125"/>
      <c r="X1012" s="126"/>
      <c r="Y1012" s="126"/>
      <c r="Z1012" s="126"/>
      <c r="AA1012" s="126"/>
      <c r="AB1012" s="126"/>
      <c r="AC1012" s="126"/>
      <c r="AD1012" s="126"/>
      <c r="AE1012" s="127"/>
      <c r="AF1012" s="126"/>
      <c r="AG1012" s="126"/>
      <c r="AH1012" s="127"/>
      <c r="AI1012" s="126"/>
      <c r="AJ1012" s="127"/>
      <c r="AK1012" s="127"/>
      <c r="AL1012" s="129"/>
      <c r="AM1012" s="129"/>
      <c r="AN1012" s="44"/>
      <c r="AO1012" s="44"/>
    </row>
    <row r="1013" spans="2:41" ht="15.5">
      <c r="B1013" s="125"/>
      <c r="C1013" s="126"/>
      <c r="D1013" s="126"/>
      <c r="E1013" s="127"/>
      <c r="F1013" s="128"/>
      <c r="G1013" s="126"/>
      <c r="H1013" s="127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126"/>
      <c r="V1013" s="126"/>
      <c r="W1013" s="125"/>
      <c r="X1013" s="126"/>
      <c r="Y1013" s="126"/>
      <c r="Z1013" s="126"/>
      <c r="AA1013" s="126"/>
      <c r="AB1013" s="126"/>
      <c r="AC1013" s="126"/>
      <c r="AD1013" s="126"/>
      <c r="AE1013" s="127"/>
      <c r="AF1013" s="126"/>
      <c r="AG1013" s="126"/>
      <c r="AH1013" s="127"/>
      <c r="AI1013" s="126"/>
      <c r="AJ1013" s="127"/>
      <c r="AK1013" s="127"/>
      <c r="AL1013" s="129"/>
      <c r="AM1013" s="129"/>
      <c r="AN1013" s="44"/>
      <c r="AO1013" s="44"/>
    </row>
    <row r="1014" spans="2:41" ht="15.5">
      <c r="B1014" s="125"/>
      <c r="C1014" s="126"/>
      <c r="D1014" s="126"/>
      <c r="E1014" s="127"/>
      <c r="F1014" s="128"/>
      <c r="G1014" s="126"/>
      <c r="H1014" s="127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126"/>
      <c r="V1014" s="126"/>
      <c r="W1014" s="125"/>
      <c r="X1014" s="126"/>
      <c r="Y1014" s="126"/>
      <c r="Z1014" s="126"/>
      <c r="AA1014" s="126"/>
      <c r="AB1014" s="126"/>
      <c r="AC1014" s="126"/>
      <c r="AD1014" s="126"/>
      <c r="AE1014" s="127"/>
      <c r="AF1014" s="126"/>
      <c r="AG1014" s="126"/>
      <c r="AH1014" s="127"/>
      <c r="AI1014" s="126"/>
      <c r="AJ1014" s="127"/>
      <c r="AK1014" s="127"/>
      <c r="AL1014" s="129"/>
      <c r="AM1014" s="129"/>
      <c r="AN1014" s="44"/>
      <c r="AO1014" s="44"/>
    </row>
    <row r="1015" spans="2:41" ht="15.5">
      <c r="B1015" s="125"/>
      <c r="C1015" s="126"/>
      <c r="D1015" s="126"/>
      <c r="E1015" s="127"/>
      <c r="F1015" s="128"/>
      <c r="G1015" s="126"/>
      <c r="H1015" s="127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126"/>
      <c r="V1015" s="126"/>
      <c r="W1015" s="125"/>
      <c r="X1015" s="126"/>
      <c r="Y1015" s="126"/>
      <c r="Z1015" s="126"/>
      <c r="AA1015" s="126"/>
      <c r="AB1015" s="126"/>
      <c r="AC1015" s="126"/>
      <c r="AD1015" s="126"/>
      <c r="AE1015" s="127"/>
      <c r="AF1015" s="126"/>
      <c r="AG1015" s="126"/>
      <c r="AH1015" s="127"/>
      <c r="AI1015" s="126"/>
      <c r="AJ1015" s="127"/>
      <c r="AK1015" s="127"/>
      <c r="AL1015" s="129"/>
      <c r="AM1015" s="129"/>
      <c r="AN1015" s="44"/>
      <c r="AO1015" s="44"/>
    </row>
    <row r="1016" spans="2:41" ht="15.5">
      <c r="B1016" s="125"/>
      <c r="C1016" s="126"/>
      <c r="D1016" s="126"/>
      <c r="E1016" s="127"/>
      <c r="F1016" s="128"/>
      <c r="G1016" s="126"/>
      <c r="H1016" s="127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126"/>
      <c r="V1016" s="126"/>
      <c r="W1016" s="125"/>
      <c r="X1016" s="126"/>
      <c r="Y1016" s="126"/>
      <c r="Z1016" s="126"/>
      <c r="AA1016" s="126"/>
      <c r="AB1016" s="126"/>
      <c r="AC1016" s="126"/>
      <c r="AD1016" s="126"/>
      <c r="AE1016" s="127"/>
      <c r="AF1016" s="126"/>
      <c r="AG1016" s="126"/>
      <c r="AH1016" s="127"/>
      <c r="AI1016" s="126"/>
      <c r="AJ1016" s="127"/>
      <c r="AK1016" s="127"/>
      <c r="AL1016" s="129"/>
      <c r="AM1016" s="129"/>
      <c r="AN1016" s="44"/>
      <c r="AO1016" s="44"/>
    </row>
    <row r="1017" spans="2:41" ht="15.5">
      <c r="B1017" s="125"/>
      <c r="C1017" s="126"/>
      <c r="D1017" s="126"/>
      <c r="E1017" s="127"/>
      <c r="F1017" s="128"/>
      <c r="G1017" s="126"/>
      <c r="H1017" s="127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126"/>
      <c r="V1017" s="126"/>
      <c r="W1017" s="125"/>
      <c r="X1017" s="126"/>
      <c r="Y1017" s="126"/>
      <c r="Z1017" s="126"/>
      <c r="AA1017" s="126"/>
      <c r="AB1017" s="126"/>
      <c r="AC1017" s="126"/>
      <c r="AD1017" s="126"/>
      <c r="AE1017" s="127"/>
      <c r="AF1017" s="126"/>
      <c r="AG1017" s="126"/>
      <c r="AH1017" s="127"/>
      <c r="AI1017" s="126"/>
      <c r="AJ1017" s="127"/>
      <c r="AK1017" s="127"/>
      <c r="AL1017" s="129"/>
      <c r="AM1017" s="129"/>
      <c r="AN1017" s="44"/>
      <c r="AO1017" s="44"/>
    </row>
    <row r="1018" spans="2:41" ht="15.5">
      <c r="B1018" s="125"/>
      <c r="C1018" s="126"/>
      <c r="D1018" s="126"/>
      <c r="E1018" s="127"/>
      <c r="F1018" s="128"/>
      <c r="G1018" s="126"/>
      <c r="H1018" s="127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126"/>
      <c r="V1018" s="126"/>
      <c r="W1018" s="125"/>
      <c r="X1018" s="126"/>
      <c r="Y1018" s="126"/>
      <c r="Z1018" s="126"/>
      <c r="AA1018" s="126"/>
      <c r="AB1018" s="126"/>
      <c r="AC1018" s="126"/>
      <c r="AD1018" s="126"/>
      <c r="AE1018" s="127"/>
      <c r="AF1018" s="126"/>
      <c r="AG1018" s="126"/>
      <c r="AH1018" s="127"/>
      <c r="AI1018" s="126"/>
      <c r="AJ1018" s="127"/>
      <c r="AK1018" s="127"/>
      <c r="AL1018" s="129"/>
      <c r="AM1018" s="129"/>
      <c r="AN1018" s="44"/>
      <c r="AO1018" s="44"/>
    </row>
    <row r="1019" spans="2:41" ht="15.5">
      <c r="B1019" s="125"/>
      <c r="C1019" s="126"/>
      <c r="D1019" s="126"/>
      <c r="E1019" s="127"/>
      <c r="F1019" s="128"/>
      <c r="G1019" s="126"/>
      <c r="H1019" s="127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126"/>
      <c r="V1019" s="126"/>
      <c r="W1019" s="125"/>
      <c r="X1019" s="126"/>
      <c r="Y1019" s="126"/>
      <c r="Z1019" s="126"/>
      <c r="AA1019" s="126"/>
      <c r="AB1019" s="126"/>
      <c r="AC1019" s="126"/>
      <c r="AD1019" s="126"/>
      <c r="AE1019" s="127"/>
      <c r="AF1019" s="126"/>
      <c r="AG1019" s="126"/>
      <c r="AH1019" s="127"/>
      <c r="AI1019" s="126"/>
      <c r="AJ1019" s="127"/>
      <c r="AK1019" s="127"/>
      <c r="AL1019" s="129"/>
      <c r="AM1019" s="129"/>
      <c r="AN1019" s="44"/>
      <c r="AO1019" s="44"/>
    </row>
    <row r="1020" spans="2:41" ht="15.5">
      <c r="B1020" s="125"/>
      <c r="C1020" s="126"/>
      <c r="D1020" s="126"/>
      <c r="E1020" s="127"/>
      <c r="F1020" s="128"/>
      <c r="G1020" s="126"/>
      <c r="H1020" s="127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126"/>
      <c r="V1020" s="126"/>
      <c r="W1020" s="125"/>
      <c r="X1020" s="126"/>
      <c r="Y1020" s="126"/>
      <c r="Z1020" s="126"/>
      <c r="AA1020" s="126"/>
      <c r="AB1020" s="126"/>
      <c r="AC1020" s="126"/>
      <c r="AD1020" s="126"/>
      <c r="AE1020" s="127"/>
      <c r="AF1020" s="126"/>
      <c r="AG1020" s="126"/>
      <c r="AH1020" s="127"/>
      <c r="AI1020" s="126"/>
      <c r="AJ1020" s="127"/>
      <c r="AK1020" s="127"/>
      <c r="AL1020" s="129"/>
      <c r="AM1020" s="129"/>
      <c r="AN1020" s="44"/>
      <c r="AO1020" s="44"/>
    </row>
    <row r="1021" spans="2:41" ht="15.5">
      <c r="B1021" s="125"/>
      <c r="C1021" s="126"/>
      <c r="D1021" s="126"/>
      <c r="E1021" s="127"/>
      <c r="F1021" s="128"/>
      <c r="G1021" s="126"/>
      <c r="H1021" s="127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126"/>
      <c r="V1021" s="126"/>
      <c r="W1021" s="125"/>
      <c r="X1021" s="126"/>
      <c r="Y1021" s="126"/>
      <c r="Z1021" s="126"/>
      <c r="AA1021" s="126"/>
      <c r="AB1021" s="126"/>
      <c r="AC1021" s="126"/>
      <c r="AD1021" s="126"/>
      <c r="AE1021" s="127"/>
      <c r="AF1021" s="126"/>
      <c r="AG1021" s="126"/>
      <c r="AH1021" s="127"/>
      <c r="AI1021" s="126"/>
      <c r="AJ1021" s="127"/>
      <c r="AK1021" s="127"/>
      <c r="AL1021" s="129"/>
      <c r="AM1021" s="129"/>
      <c r="AN1021" s="44"/>
      <c r="AO1021" s="44"/>
    </row>
    <row r="1022" spans="2:41" ht="15.5">
      <c r="B1022" s="125"/>
      <c r="C1022" s="126"/>
      <c r="D1022" s="126"/>
      <c r="E1022" s="127"/>
      <c r="F1022" s="128"/>
      <c r="G1022" s="126"/>
      <c r="H1022" s="127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126"/>
      <c r="V1022" s="126"/>
      <c r="W1022" s="125"/>
      <c r="X1022" s="126"/>
      <c r="Y1022" s="126"/>
      <c r="Z1022" s="126"/>
      <c r="AA1022" s="126"/>
      <c r="AB1022" s="126"/>
      <c r="AC1022" s="126"/>
      <c r="AD1022" s="126"/>
      <c r="AE1022" s="127"/>
      <c r="AF1022" s="126"/>
      <c r="AG1022" s="126"/>
      <c r="AH1022" s="127"/>
      <c r="AI1022" s="126"/>
      <c r="AJ1022" s="127"/>
      <c r="AK1022" s="127"/>
      <c r="AL1022" s="129"/>
      <c r="AM1022" s="129"/>
      <c r="AN1022" s="44"/>
      <c r="AO1022" s="44"/>
    </row>
    <row r="1023" spans="2:41" ht="15.5">
      <c r="B1023" s="125"/>
      <c r="C1023" s="126"/>
      <c r="D1023" s="126"/>
      <c r="E1023" s="127"/>
      <c r="F1023" s="128"/>
      <c r="G1023" s="126"/>
      <c r="H1023" s="127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126"/>
      <c r="V1023" s="126"/>
      <c r="W1023" s="125"/>
      <c r="X1023" s="126"/>
      <c r="Y1023" s="126"/>
      <c r="Z1023" s="126"/>
      <c r="AA1023" s="126"/>
      <c r="AB1023" s="126"/>
      <c r="AC1023" s="126"/>
      <c r="AD1023" s="126"/>
      <c r="AE1023" s="127"/>
      <c r="AF1023" s="126"/>
      <c r="AG1023" s="126"/>
      <c r="AH1023" s="127"/>
      <c r="AI1023" s="126"/>
      <c r="AJ1023" s="127"/>
      <c r="AK1023" s="127"/>
      <c r="AL1023" s="129"/>
      <c r="AM1023" s="129"/>
      <c r="AN1023" s="44"/>
      <c r="AO1023" s="44"/>
    </row>
    <row r="1024" spans="2:41" ht="15.5">
      <c r="B1024" s="125"/>
      <c r="C1024" s="126"/>
      <c r="D1024" s="126"/>
      <c r="E1024" s="127"/>
      <c r="F1024" s="128"/>
      <c r="G1024" s="126"/>
      <c r="H1024" s="127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126"/>
      <c r="V1024" s="126"/>
      <c r="W1024" s="125"/>
      <c r="X1024" s="126"/>
      <c r="Y1024" s="126"/>
      <c r="Z1024" s="126"/>
      <c r="AA1024" s="126"/>
      <c r="AB1024" s="126"/>
      <c r="AC1024" s="126"/>
      <c r="AD1024" s="126"/>
      <c r="AE1024" s="127"/>
      <c r="AF1024" s="126"/>
      <c r="AG1024" s="126"/>
      <c r="AH1024" s="127"/>
      <c r="AI1024" s="126"/>
      <c r="AJ1024" s="127"/>
      <c r="AK1024" s="127"/>
      <c r="AL1024" s="129"/>
      <c r="AM1024" s="129"/>
      <c r="AN1024" s="44"/>
      <c r="AO1024" s="44"/>
    </row>
    <row r="1025" spans="2:41" ht="15.5">
      <c r="B1025" s="125"/>
      <c r="C1025" s="126"/>
      <c r="D1025" s="126"/>
      <c r="E1025" s="127"/>
      <c r="F1025" s="128"/>
      <c r="G1025" s="126"/>
      <c r="H1025" s="127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126"/>
      <c r="V1025" s="126"/>
      <c r="W1025" s="125"/>
      <c r="X1025" s="126"/>
      <c r="Y1025" s="126"/>
      <c r="Z1025" s="126"/>
      <c r="AA1025" s="126"/>
      <c r="AB1025" s="126"/>
      <c r="AC1025" s="126"/>
      <c r="AD1025" s="126"/>
      <c r="AE1025" s="127"/>
      <c r="AF1025" s="126"/>
      <c r="AG1025" s="126"/>
      <c r="AH1025" s="127"/>
      <c r="AI1025" s="126"/>
      <c r="AJ1025" s="127"/>
      <c r="AK1025" s="127"/>
      <c r="AL1025" s="129"/>
      <c r="AM1025" s="129"/>
      <c r="AN1025" s="44"/>
      <c r="AO1025" s="44"/>
    </row>
    <row r="1026" spans="2:41" ht="15.5">
      <c r="B1026" s="125"/>
      <c r="C1026" s="126"/>
      <c r="D1026" s="126"/>
      <c r="E1026" s="127"/>
      <c r="F1026" s="128"/>
      <c r="G1026" s="126"/>
      <c r="H1026" s="127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126"/>
      <c r="V1026" s="126"/>
      <c r="W1026" s="125"/>
      <c r="X1026" s="126"/>
      <c r="Y1026" s="126"/>
      <c r="Z1026" s="126"/>
      <c r="AA1026" s="126"/>
      <c r="AB1026" s="126"/>
      <c r="AC1026" s="126"/>
      <c r="AD1026" s="126"/>
      <c r="AE1026" s="127"/>
      <c r="AF1026" s="126"/>
      <c r="AG1026" s="126"/>
      <c r="AH1026" s="127"/>
      <c r="AI1026" s="126"/>
      <c r="AJ1026" s="127"/>
      <c r="AK1026" s="127"/>
      <c r="AL1026" s="129"/>
      <c r="AM1026" s="129"/>
      <c r="AN1026" s="44"/>
      <c r="AO1026" s="44"/>
    </row>
    <row r="1027" spans="2:41" ht="15.5">
      <c r="B1027" s="125"/>
      <c r="C1027" s="126"/>
      <c r="D1027" s="126"/>
      <c r="E1027" s="127"/>
      <c r="F1027" s="128"/>
      <c r="G1027" s="126"/>
      <c r="H1027" s="127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126"/>
      <c r="V1027" s="126"/>
      <c r="W1027" s="125"/>
      <c r="X1027" s="126"/>
      <c r="Y1027" s="126"/>
      <c r="Z1027" s="126"/>
      <c r="AA1027" s="126"/>
      <c r="AB1027" s="126"/>
      <c r="AC1027" s="126"/>
      <c r="AD1027" s="126"/>
      <c r="AE1027" s="127"/>
      <c r="AF1027" s="126"/>
      <c r="AG1027" s="126"/>
      <c r="AH1027" s="127"/>
      <c r="AI1027" s="126"/>
      <c r="AJ1027" s="127"/>
      <c r="AK1027" s="127"/>
      <c r="AL1027" s="129"/>
      <c r="AM1027" s="129"/>
      <c r="AN1027" s="44"/>
      <c r="AO1027" s="44"/>
    </row>
    <row r="1028" spans="2:41" ht="15.5">
      <c r="B1028" s="125"/>
      <c r="C1028" s="126"/>
      <c r="D1028" s="126"/>
      <c r="E1028" s="127"/>
      <c r="F1028" s="128"/>
      <c r="G1028" s="126"/>
      <c r="H1028" s="127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126"/>
      <c r="V1028" s="126"/>
      <c r="W1028" s="125"/>
      <c r="X1028" s="126"/>
      <c r="Y1028" s="126"/>
      <c r="Z1028" s="126"/>
      <c r="AA1028" s="126"/>
      <c r="AB1028" s="126"/>
      <c r="AC1028" s="126"/>
      <c r="AD1028" s="126"/>
      <c r="AE1028" s="127"/>
      <c r="AF1028" s="126"/>
      <c r="AG1028" s="126"/>
      <c r="AH1028" s="127"/>
      <c r="AI1028" s="126"/>
      <c r="AJ1028" s="127"/>
      <c r="AK1028" s="127"/>
      <c r="AL1028" s="129"/>
      <c r="AM1028" s="129"/>
      <c r="AN1028" s="44"/>
      <c r="AO1028" s="44"/>
    </row>
    <row r="1029" spans="2:41" ht="15.5">
      <c r="B1029" s="125"/>
      <c r="C1029" s="126"/>
      <c r="D1029" s="126"/>
      <c r="E1029" s="127"/>
      <c r="F1029" s="128"/>
      <c r="G1029" s="126"/>
      <c r="H1029" s="127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126"/>
      <c r="V1029" s="126"/>
      <c r="W1029" s="125"/>
      <c r="X1029" s="126"/>
      <c r="Y1029" s="126"/>
      <c r="Z1029" s="126"/>
      <c r="AA1029" s="126"/>
      <c r="AB1029" s="126"/>
      <c r="AC1029" s="126"/>
      <c r="AD1029" s="126"/>
      <c r="AE1029" s="127"/>
      <c r="AF1029" s="126"/>
      <c r="AG1029" s="126"/>
      <c r="AH1029" s="127"/>
      <c r="AI1029" s="126"/>
      <c r="AJ1029" s="127"/>
      <c r="AK1029" s="127"/>
      <c r="AL1029" s="129"/>
      <c r="AM1029" s="129"/>
      <c r="AN1029" s="44"/>
      <c r="AO1029" s="44"/>
    </row>
    <row r="1030" spans="2:41" ht="15.5">
      <c r="B1030" s="125"/>
      <c r="C1030" s="126"/>
      <c r="D1030" s="126"/>
      <c r="E1030" s="127"/>
      <c r="F1030" s="128"/>
      <c r="G1030" s="126"/>
      <c r="H1030" s="127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126"/>
      <c r="V1030" s="126"/>
      <c r="W1030" s="125"/>
      <c r="X1030" s="126"/>
      <c r="Y1030" s="126"/>
      <c r="Z1030" s="126"/>
      <c r="AA1030" s="126"/>
      <c r="AB1030" s="126"/>
      <c r="AC1030" s="126"/>
      <c r="AD1030" s="126"/>
      <c r="AE1030" s="127"/>
      <c r="AF1030" s="126"/>
      <c r="AG1030" s="126"/>
      <c r="AH1030" s="127"/>
      <c r="AI1030" s="126"/>
      <c r="AJ1030" s="127"/>
      <c r="AK1030" s="127"/>
      <c r="AL1030" s="129"/>
      <c r="AM1030" s="129"/>
      <c r="AN1030" s="44"/>
      <c r="AO1030" s="44"/>
    </row>
    <row r="1031" spans="2:41" ht="15.5">
      <c r="B1031" s="125"/>
      <c r="C1031" s="126"/>
      <c r="D1031" s="126"/>
      <c r="E1031" s="127"/>
      <c r="F1031" s="128"/>
      <c r="G1031" s="126"/>
      <c r="H1031" s="127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126"/>
      <c r="V1031" s="126"/>
      <c r="W1031" s="125"/>
      <c r="X1031" s="126"/>
      <c r="Y1031" s="126"/>
      <c r="Z1031" s="126"/>
      <c r="AA1031" s="126"/>
      <c r="AB1031" s="126"/>
      <c r="AC1031" s="126"/>
      <c r="AD1031" s="126"/>
      <c r="AE1031" s="127"/>
      <c r="AF1031" s="126"/>
      <c r="AG1031" s="126"/>
      <c r="AH1031" s="127"/>
      <c r="AI1031" s="126"/>
      <c r="AJ1031" s="127"/>
      <c r="AK1031" s="127"/>
      <c r="AL1031" s="129"/>
      <c r="AM1031" s="129"/>
      <c r="AN1031" s="44"/>
      <c r="AO1031" s="44"/>
    </row>
    <row r="1032" spans="2:41" ht="15.5">
      <c r="B1032" s="125"/>
      <c r="C1032" s="126"/>
      <c r="D1032" s="126"/>
      <c r="E1032" s="127"/>
      <c r="F1032" s="128"/>
      <c r="G1032" s="126"/>
      <c r="H1032" s="127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126"/>
      <c r="V1032" s="126"/>
      <c r="W1032" s="125"/>
      <c r="X1032" s="126"/>
      <c r="Y1032" s="126"/>
      <c r="Z1032" s="126"/>
      <c r="AA1032" s="126"/>
      <c r="AB1032" s="126"/>
      <c r="AC1032" s="126"/>
      <c r="AD1032" s="126"/>
      <c r="AE1032" s="127"/>
      <c r="AF1032" s="126"/>
      <c r="AG1032" s="126"/>
      <c r="AH1032" s="127"/>
      <c r="AI1032" s="126"/>
      <c r="AJ1032" s="127"/>
      <c r="AK1032" s="127"/>
      <c r="AL1032" s="129"/>
      <c r="AM1032" s="129"/>
      <c r="AN1032" s="44"/>
      <c r="AO1032" s="44"/>
    </row>
    <row r="1033" spans="2:41" ht="15.5">
      <c r="B1033" s="125"/>
      <c r="C1033" s="126"/>
      <c r="D1033" s="126"/>
      <c r="E1033" s="127"/>
      <c r="F1033" s="128"/>
      <c r="G1033" s="126"/>
      <c r="H1033" s="127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126"/>
      <c r="V1033" s="126"/>
      <c r="W1033" s="125"/>
      <c r="X1033" s="126"/>
      <c r="Y1033" s="126"/>
      <c r="Z1033" s="126"/>
      <c r="AA1033" s="126"/>
      <c r="AB1033" s="126"/>
      <c r="AC1033" s="126"/>
      <c r="AD1033" s="126"/>
      <c r="AE1033" s="127"/>
      <c r="AF1033" s="126"/>
      <c r="AG1033" s="126"/>
      <c r="AH1033" s="127"/>
      <c r="AI1033" s="126"/>
      <c r="AJ1033" s="127"/>
      <c r="AK1033" s="127"/>
      <c r="AL1033" s="129"/>
      <c r="AM1033" s="129"/>
      <c r="AN1033" s="44"/>
      <c r="AO1033" s="44"/>
    </row>
    <row r="1034" spans="2:41" ht="15.5">
      <c r="B1034" s="125"/>
      <c r="C1034" s="126"/>
      <c r="D1034" s="126"/>
      <c r="E1034" s="127"/>
      <c r="F1034" s="128"/>
      <c r="G1034" s="126"/>
      <c r="H1034" s="127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126"/>
      <c r="V1034" s="126"/>
      <c r="W1034" s="125"/>
      <c r="X1034" s="126"/>
      <c r="Y1034" s="126"/>
      <c r="Z1034" s="126"/>
      <c r="AA1034" s="126"/>
      <c r="AB1034" s="126"/>
      <c r="AC1034" s="126"/>
      <c r="AD1034" s="126"/>
      <c r="AE1034" s="127"/>
      <c r="AF1034" s="126"/>
      <c r="AG1034" s="126"/>
      <c r="AH1034" s="127"/>
      <c r="AI1034" s="126"/>
      <c r="AJ1034" s="127"/>
      <c r="AK1034" s="127"/>
      <c r="AL1034" s="129"/>
      <c r="AM1034" s="129"/>
      <c r="AN1034" s="44"/>
      <c r="AO1034" s="44"/>
    </row>
    <row r="1035" spans="2:41" ht="15.5">
      <c r="B1035" s="125"/>
      <c r="C1035" s="126"/>
      <c r="D1035" s="126"/>
      <c r="E1035" s="127"/>
      <c r="F1035" s="128"/>
      <c r="G1035" s="126"/>
      <c r="H1035" s="127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126"/>
      <c r="V1035" s="126"/>
      <c r="W1035" s="125"/>
      <c r="X1035" s="126"/>
      <c r="Y1035" s="126"/>
      <c r="Z1035" s="126"/>
      <c r="AA1035" s="126"/>
      <c r="AB1035" s="126"/>
      <c r="AC1035" s="126"/>
      <c r="AD1035" s="126"/>
      <c r="AE1035" s="127"/>
      <c r="AF1035" s="126"/>
      <c r="AG1035" s="126"/>
      <c r="AH1035" s="127"/>
      <c r="AI1035" s="126"/>
      <c r="AJ1035" s="127"/>
      <c r="AK1035" s="127"/>
      <c r="AL1035" s="129"/>
      <c r="AM1035" s="129"/>
      <c r="AN1035" s="44"/>
      <c r="AO1035" s="44"/>
    </row>
    <row r="1036" spans="2:41" ht="15.5">
      <c r="B1036" s="125"/>
      <c r="C1036" s="126"/>
      <c r="D1036" s="126"/>
      <c r="E1036" s="127"/>
      <c r="F1036" s="128"/>
      <c r="G1036" s="126"/>
      <c r="H1036" s="127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126"/>
      <c r="V1036" s="126"/>
      <c r="W1036" s="125"/>
      <c r="X1036" s="126"/>
      <c r="Y1036" s="126"/>
      <c r="Z1036" s="126"/>
      <c r="AA1036" s="126"/>
      <c r="AB1036" s="126"/>
      <c r="AC1036" s="126"/>
      <c r="AD1036" s="126"/>
      <c r="AE1036" s="127"/>
      <c r="AF1036" s="126"/>
      <c r="AG1036" s="126"/>
      <c r="AH1036" s="127"/>
      <c r="AI1036" s="126"/>
      <c r="AJ1036" s="127"/>
      <c r="AK1036" s="127"/>
      <c r="AL1036" s="129"/>
      <c r="AM1036" s="129"/>
      <c r="AN1036" s="44"/>
      <c r="AO1036" s="44"/>
    </row>
    <row r="1037" spans="2:41" ht="15.5">
      <c r="B1037" s="125"/>
      <c r="C1037" s="126"/>
      <c r="D1037" s="126"/>
      <c r="E1037" s="127"/>
      <c r="F1037" s="128"/>
      <c r="G1037" s="126"/>
      <c r="H1037" s="127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126"/>
      <c r="V1037" s="126"/>
      <c r="W1037" s="125"/>
      <c r="X1037" s="126"/>
      <c r="Y1037" s="126"/>
      <c r="Z1037" s="126"/>
      <c r="AA1037" s="126"/>
      <c r="AB1037" s="126"/>
      <c r="AC1037" s="126"/>
      <c r="AD1037" s="126"/>
      <c r="AE1037" s="127"/>
      <c r="AF1037" s="126"/>
      <c r="AG1037" s="126"/>
      <c r="AH1037" s="127"/>
      <c r="AI1037" s="126"/>
      <c r="AJ1037" s="127"/>
      <c r="AK1037" s="127"/>
      <c r="AL1037" s="129"/>
      <c r="AM1037" s="129"/>
      <c r="AN1037" s="44"/>
      <c r="AO1037" s="44"/>
    </row>
    <row r="1038" spans="2:41" ht="15.5">
      <c r="B1038" s="125"/>
      <c r="C1038" s="126"/>
      <c r="D1038" s="126"/>
      <c r="E1038" s="127"/>
      <c r="F1038" s="128"/>
      <c r="G1038" s="126"/>
      <c r="H1038" s="127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126"/>
      <c r="V1038" s="126"/>
      <c r="W1038" s="125"/>
      <c r="X1038" s="126"/>
      <c r="Y1038" s="126"/>
      <c r="Z1038" s="126"/>
      <c r="AA1038" s="126"/>
      <c r="AB1038" s="126"/>
      <c r="AC1038" s="126"/>
      <c r="AD1038" s="126"/>
      <c r="AE1038" s="127"/>
      <c r="AF1038" s="126"/>
      <c r="AG1038" s="126"/>
      <c r="AH1038" s="127"/>
      <c r="AI1038" s="126"/>
      <c r="AJ1038" s="127"/>
      <c r="AK1038" s="127"/>
      <c r="AL1038" s="129"/>
      <c r="AM1038" s="129"/>
      <c r="AN1038" s="44"/>
      <c r="AO1038" s="44"/>
    </row>
    <row r="1039" spans="2:41" ht="15.5">
      <c r="B1039" s="125"/>
      <c r="C1039" s="126"/>
      <c r="D1039" s="126"/>
      <c r="E1039" s="127"/>
      <c r="F1039" s="128"/>
      <c r="G1039" s="126"/>
      <c r="H1039" s="127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126"/>
      <c r="V1039" s="126"/>
      <c r="W1039" s="125"/>
      <c r="X1039" s="126"/>
      <c r="Y1039" s="126"/>
      <c r="Z1039" s="126"/>
      <c r="AA1039" s="126"/>
      <c r="AB1039" s="126"/>
      <c r="AC1039" s="126"/>
      <c r="AD1039" s="126"/>
      <c r="AE1039" s="127"/>
      <c r="AF1039" s="126"/>
      <c r="AG1039" s="126"/>
      <c r="AH1039" s="127"/>
      <c r="AI1039" s="126"/>
      <c r="AJ1039" s="127"/>
      <c r="AK1039" s="127"/>
      <c r="AL1039" s="129"/>
      <c r="AM1039" s="129"/>
      <c r="AN1039" s="44"/>
      <c r="AO1039" s="44"/>
    </row>
    <row r="1040" spans="2:41" ht="15.5">
      <c r="B1040" s="125"/>
      <c r="C1040" s="126"/>
      <c r="D1040" s="126"/>
      <c r="E1040" s="127"/>
      <c r="F1040" s="128"/>
      <c r="G1040" s="126"/>
      <c r="H1040" s="127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126"/>
      <c r="V1040" s="126"/>
      <c r="W1040" s="125"/>
      <c r="X1040" s="126"/>
      <c r="Y1040" s="126"/>
      <c r="Z1040" s="126"/>
      <c r="AA1040" s="126"/>
      <c r="AB1040" s="126"/>
      <c r="AC1040" s="126"/>
      <c r="AD1040" s="126"/>
      <c r="AE1040" s="127"/>
      <c r="AF1040" s="126"/>
      <c r="AG1040" s="126"/>
      <c r="AH1040" s="127"/>
      <c r="AI1040" s="126"/>
      <c r="AJ1040" s="127"/>
      <c r="AK1040" s="127"/>
      <c r="AL1040" s="129"/>
      <c r="AM1040" s="129"/>
      <c r="AN1040" s="44"/>
      <c r="AO1040" s="44"/>
    </row>
    <row r="1041" spans="2:41" ht="15.5">
      <c r="B1041" s="125"/>
      <c r="C1041" s="126"/>
      <c r="D1041" s="126"/>
      <c r="E1041" s="127"/>
      <c r="F1041" s="128"/>
      <c r="G1041" s="126"/>
      <c r="H1041" s="127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126"/>
      <c r="V1041" s="126"/>
      <c r="W1041" s="125"/>
      <c r="X1041" s="126"/>
      <c r="Y1041" s="126"/>
      <c r="Z1041" s="126"/>
      <c r="AA1041" s="126"/>
      <c r="AB1041" s="126"/>
      <c r="AC1041" s="126"/>
      <c r="AD1041" s="126"/>
      <c r="AE1041" s="127"/>
      <c r="AF1041" s="126"/>
      <c r="AG1041" s="126"/>
      <c r="AH1041" s="127"/>
      <c r="AI1041" s="126"/>
      <c r="AJ1041" s="127"/>
      <c r="AK1041" s="127"/>
      <c r="AL1041" s="129"/>
      <c r="AM1041" s="129"/>
      <c r="AN1041" s="44"/>
      <c r="AO1041" s="44"/>
    </row>
    <row r="1042" spans="2:41" ht="15.5">
      <c r="B1042" s="125"/>
      <c r="C1042" s="126"/>
      <c r="D1042" s="126"/>
      <c r="E1042" s="127"/>
      <c r="F1042" s="128"/>
      <c r="G1042" s="126"/>
      <c r="H1042" s="127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126"/>
      <c r="V1042" s="126"/>
      <c r="W1042" s="125"/>
      <c r="X1042" s="126"/>
      <c r="Y1042" s="126"/>
      <c r="Z1042" s="126"/>
      <c r="AA1042" s="126"/>
      <c r="AB1042" s="126"/>
      <c r="AC1042" s="126"/>
      <c r="AD1042" s="126"/>
      <c r="AE1042" s="127"/>
      <c r="AF1042" s="126"/>
      <c r="AG1042" s="126"/>
      <c r="AH1042" s="127"/>
      <c r="AI1042" s="126"/>
      <c r="AJ1042" s="127"/>
      <c r="AK1042" s="127"/>
      <c r="AL1042" s="129"/>
      <c r="AM1042" s="129"/>
      <c r="AN1042" s="44"/>
      <c r="AO1042" s="44"/>
    </row>
    <row r="1043" spans="2:41" ht="15.5">
      <c r="B1043" s="125"/>
      <c r="C1043" s="126"/>
      <c r="D1043" s="126"/>
      <c r="E1043" s="127"/>
      <c r="F1043" s="128"/>
      <c r="G1043" s="126"/>
      <c r="H1043" s="127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126"/>
      <c r="V1043" s="126"/>
      <c r="W1043" s="125"/>
      <c r="X1043" s="126"/>
      <c r="Y1043" s="126"/>
      <c r="Z1043" s="126"/>
      <c r="AA1043" s="126"/>
      <c r="AB1043" s="126"/>
      <c r="AC1043" s="126"/>
      <c r="AD1043" s="126"/>
      <c r="AE1043" s="127"/>
      <c r="AF1043" s="126"/>
      <c r="AG1043" s="126"/>
      <c r="AH1043" s="127"/>
      <c r="AI1043" s="126"/>
      <c r="AJ1043" s="127"/>
      <c r="AK1043" s="127"/>
      <c r="AL1043" s="129"/>
      <c r="AM1043" s="129"/>
      <c r="AN1043" s="44"/>
      <c r="AO1043" s="44"/>
    </row>
    <row r="1044" spans="2:41" ht="15.5">
      <c r="B1044" s="125"/>
      <c r="C1044" s="126"/>
      <c r="D1044" s="126"/>
      <c r="E1044" s="127"/>
      <c r="F1044" s="128"/>
      <c r="G1044" s="126"/>
      <c r="H1044" s="127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126"/>
      <c r="V1044" s="126"/>
      <c r="W1044" s="125"/>
      <c r="X1044" s="126"/>
      <c r="Y1044" s="126"/>
      <c r="Z1044" s="126"/>
      <c r="AA1044" s="126"/>
      <c r="AB1044" s="126"/>
      <c r="AC1044" s="126"/>
      <c r="AD1044" s="126"/>
      <c r="AE1044" s="127"/>
      <c r="AF1044" s="126"/>
      <c r="AG1044" s="126"/>
      <c r="AH1044" s="127"/>
      <c r="AI1044" s="126"/>
      <c r="AJ1044" s="127"/>
      <c r="AK1044" s="127"/>
      <c r="AL1044" s="129"/>
      <c r="AM1044" s="129"/>
      <c r="AN1044" s="44"/>
      <c r="AO1044" s="44"/>
    </row>
    <row r="1045" spans="2:41" ht="15.5">
      <c r="B1045" s="125"/>
      <c r="C1045" s="126"/>
      <c r="D1045" s="126"/>
      <c r="E1045" s="127"/>
      <c r="F1045" s="128"/>
      <c r="G1045" s="126"/>
      <c r="H1045" s="127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126"/>
      <c r="V1045" s="126"/>
      <c r="W1045" s="125"/>
      <c r="X1045" s="126"/>
      <c r="Y1045" s="126"/>
      <c r="Z1045" s="126"/>
      <c r="AA1045" s="126"/>
      <c r="AB1045" s="126"/>
      <c r="AC1045" s="126"/>
      <c r="AD1045" s="126"/>
      <c r="AE1045" s="127"/>
      <c r="AF1045" s="126"/>
      <c r="AG1045" s="126"/>
      <c r="AH1045" s="127"/>
      <c r="AI1045" s="126"/>
      <c r="AJ1045" s="127"/>
      <c r="AK1045" s="127"/>
      <c r="AL1045" s="129"/>
      <c r="AM1045" s="129"/>
      <c r="AN1045" s="44"/>
      <c r="AO1045" s="44"/>
    </row>
    <row r="1046" spans="2:41" ht="15.5">
      <c r="B1046" s="125"/>
      <c r="C1046" s="126"/>
      <c r="D1046" s="126"/>
      <c r="E1046" s="127"/>
      <c r="F1046" s="128"/>
      <c r="G1046" s="126"/>
      <c r="H1046" s="127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126"/>
      <c r="V1046" s="126"/>
      <c r="W1046" s="125"/>
      <c r="X1046" s="126"/>
      <c r="Y1046" s="126"/>
      <c r="Z1046" s="126"/>
      <c r="AA1046" s="126"/>
      <c r="AB1046" s="126"/>
      <c r="AC1046" s="126"/>
      <c r="AD1046" s="126"/>
      <c r="AE1046" s="127"/>
      <c r="AF1046" s="126"/>
      <c r="AG1046" s="126"/>
      <c r="AH1046" s="127"/>
      <c r="AI1046" s="126"/>
      <c r="AJ1046" s="127"/>
      <c r="AK1046" s="127"/>
      <c r="AL1046" s="129"/>
      <c r="AM1046" s="129"/>
      <c r="AN1046" s="44"/>
      <c r="AO1046" s="44"/>
    </row>
    <row r="1047" spans="2:41" ht="15.5">
      <c r="B1047" s="125"/>
      <c r="C1047" s="126"/>
      <c r="D1047" s="126"/>
      <c r="E1047" s="127"/>
      <c r="F1047" s="128"/>
      <c r="G1047" s="126"/>
      <c r="H1047" s="127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126"/>
      <c r="V1047" s="126"/>
      <c r="W1047" s="125"/>
      <c r="X1047" s="126"/>
      <c r="Y1047" s="126"/>
      <c r="Z1047" s="126"/>
      <c r="AA1047" s="126"/>
      <c r="AB1047" s="126"/>
      <c r="AC1047" s="126"/>
      <c r="AD1047" s="126"/>
      <c r="AE1047" s="127"/>
      <c r="AF1047" s="126"/>
      <c r="AG1047" s="126"/>
      <c r="AH1047" s="127"/>
      <c r="AI1047" s="126"/>
      <c r="AJ1047" s="127"/>
      <c r="AK1047" s="127"/>
      <c r="AL1047" s="129"/>
      <c r="AM1047" s="129"/>
      <c r="AN1047" s="44"/>
      <c r="AO1047" s="44"/>
    </row>
    <row r="1048" spans="2:41" ht="15.5">
      <c r="B1048" s="125"/>
      <c r="C1048" s="126"/>
      <c r="D1048" s="126"/>
      <c r="E1048" s="127"/>
      <c r="F1048" s="128"/>
      <c r="G1048" s="126"/>
      <c r="H1048" s="127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126"/>
      <c r="V1048" s="126"/>
      <c r="W1048" s="125"/>
      <c r="X1048" s="126"/>
      <c r="Y1048" s="126"/>
      <c r="Z1048" s="126"/>
      <c r="AA1048" s="126"/>
      <c r="AB1048" s="126"/>
      <c r="AC1048" s="126"/>
      <c r="AD1048" s="126"/>
      <c r="AE1048" s="127"/>
      <c r="AF1048" s="126"/>
      <c r="AG1048" s="126"/>
      <c r="AH1048" s="127"/>
      <c r="AI1048" s="126"/>
      <c r="AJ1048" s="127"/>
      <c r="AK1048" s="127"/>
      <c r="AL1048" s="129"/>
      <c r="AM1048" s="129"/>
      <c r="AN1048" s="44"/>
      <c r="AO1048" s="44"/>
    </row>
    <row r="1049" spans="2:41" ht="15.5">
      <c r="B1049" s="125"/>
      <c r="C1049" s="126"/>
      <c r="D1049" s="126"/>
      <c r="E1049" s="127"/>
      <c r="F1049" s="128"/>
      <c r="G1049" s="126"/>
      <c r="H1049" s="127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126"/>
      <c r="V1049" s="126"/>
      <c r="W1049" s="125"/>
      <c r="X1049" s="126"/>
      <c r="Y1049" s="126"/>
      <c r="Z1049" s="126"/>
      <c r="AA1049" s="126"/>
      <c r="AB1049" s="126"/>
      <c r="AC1049" s="126"/>
      <c r="AD1049" s="126"/>
      <c r="AE1049" s="127"/>
      <c r="AF1049" s="126"/>
      <c r="AG1049" s="126"/>
      <c r="AH1049" s="127"/>
      <c r="AI1049" s="126"/>
      <c r="AJ1049" s="127"/>
      <c r="AK1049" s="127"/>
      <c r="AL1049" s="129"/>
      <c r="AM1049" s="129"/>
      <c r="AN1049" s="44"/>
      <c r="AO1049" s="44"/>
    </row>
    <row r="1050" spans="2:41" ht="15.5">
      <c r="B1050" s="125"/>
      <c r="C1050" s="126"/>
      <c r="D1050" s="126"/>
      <c r="E1050" s="127"/>
      <c r="F1050" s="128"/>
      <c r="G1050" s="126"/>
      <c r="H1050" s="127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126"/>
      <c r="V1050" s="126"/>
      <c r="W1050" s="125"/>
      <c r="X1050" s="126"/>
      <c r="Y1050" s="126"/>
      <c r="Z1050" s="126"/>
      <c r="AA1050" s="126"/>
      <c r="AB1050" s="126"/>
      <c r="AC1050" s="126"/>
      <c r="AD1050" s="126"/>
      <c r="AE1050" s="127"/>
      <c r="AF1050" s="126"/>
      <c r="AG1050" s="126"/>
      <c r="AH1050" s="127"/>
      <c r="AI1050" s="126"/>
      <c r="AJ1050" s="127"/>
      <c r="AK1050" s="127"/>
      <c r="AL1050" s="129"/>
      <c r="AM1050" s="129"/>
      <c r="AN1050" s="44"/>
      <c r="AO1050" s="44"/>
    </row>
    <row r="1051" spans="2:41" ht="15.5">
      <c r="B1051" s="125"/>
      <c r="C1051" s="126"/>
      <c r="D1051" s="126"/>
      <c r="E1051" s="127"/>
      <c r="F1051" s="128"/>
      <c r="G1051" s="126"/>
      <c r="H1051" s="127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126"/>
      <c r="V1051" s="126"/>
      <c r="W1051" s="125"/>
      <c r="X1051" s="126"/>
      <c r="Y1051" s="126"/>
      <c r="Z1051" s="126"/>
      <c r="AA1051" s="126"/>
      <c r="AB1051" s="126"/>
      <c r="AC1051" s="126"/>
      <c r="AD1051" s="126"/>
      <c r="AE1051" s="127"/>
      <c r="AF1051" s="126"/>
      <c r="AG1051" s="126"/>
      <c r="AH1051" s="127"/>
      <c r="AI1051" s="126"/>
      <c r="AJ1051" s="127"/>
      <c r="AK1051" s="127"/>
      <c r="AL1051" s="129"/>
      <c r="AM1051" s="129"/>
      <c r="AN1051" s="44"/>
      <c r="AO1051" s="44"/>
    </row>
    <row r="1052" spans="2:41" ht="15.5">
      <c r="B1052" s="125"/>
      <c r="C1052" s="126"/>
      <c r="D1052" s="126"/>
      <c r="E1052" s="127"/>
      <c r="F1052" s="128"/>
      <c r="G1052" s="126"/>
      <c r="H1052" s="127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126"/>
      <c r="V1052" s="126"/>
      <c r="W1052" s="125"/>
      <c r="X1052" s="126"/>
      <c r="Y1052" s="126"/>
      <c r="Z1052" s="126"/>
      <c r="AA1052" s="126"/>
      <c r="AB1052" s="126"/>
      <c r="AC1052" s="126"/>
      <c r="AD1052" s="126"/>
      <c r="AE1052" s="127"/>
      <c r="AF1052" s="126"/>
      <c r="AG1052" s="126"/>
      <c r="AH1052" s="127"/>
      <c r="AI1052" s="126"/>
      <c r="AJ1052" s="127"/>
      <c r="AK1052" s="127"/>
      <c r="AL1052" s="129"/>
      <c r="AM1052" s="129"/>
      <c r="AN1052" s="44"/>
      <c r="AO1052" s="44"/>
    </row>
    <row r="1053" spans="2:41" ht="15.5">
      <c r="B1053" s="125"/>
      <c r="C1053" s="126"/>
      <c r="D1053" s="126"/>
      <c r="E1053" s="127"/>
      <c r="F1053" s="128"/>
      <c r="G1053" s="126"/>
      <c r="H1053" s="127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126"/>
      <c r="V1053" s="126"/>
      <c r="W1053" s="125"/>
      <c r="X1053" s="126"/>
      <c r="Y1053" s="126"/>
      <c r="Z1053" s="126"/>
      <c r="AA1053" s="126"/>
      <c r="AB1053" s="126"/>
      <c r="AC1053" s="126"/>
      <c r="AD1053" s="126"/>
      <c r="AE1053" s="127"/>
      <c r="AF1053" s="126"/>
      <c r="AG1053" s="126"/>
      <c r="AH1053" s="127"/>
      <c r="AI1053" s="126"/>
      <c r="AJ1053" s="127"/>
      <c r="AK1053" s="127"/>
      <c r="AL1053" s="129"/>
      <c r="AM1053" s="129"/>
      <c r="AN1053" s="44"/>
      <c r="AO1053" s="44"/>
    </row>
    <row r="1054" spans="2:41" ht="15.5">
      <c r="B1054" s="125"/>
      <c r="C1054" s="126"/>
      <c r="D1054" s="126"/>
      <c r="E1054" s="127"/>
      <c r="F1054" s="128"/>
      <c r="G1054" s="126"/>
      <c r="H1054" s="127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126"/>
      <c r="V1054" s="126"/>
      <c r="W1054" s="125"/>
      <c r="X1054" s="126"/>
      <c r="Y1054" s="126"/>
      <c r="Z1054" s="126"/>
      <c r="AA1054" s="126"/>
      <c r="AB1054" s="126"/>
      <c r="AC1054" s="126"/>
      <c r="AD1054" s="126"/>
      <c r="AE1054" s="127"/>
      <c r="AF1054" s="126"/>
      <c r="AG1054" s="126"/>
      <c r="AH1054" s="127"/>
      <c r="AI1054" s="126"/>
      <c r="AJ1054" s="127"/>
      <c r="AK1054" s="127"/>
      <c r="AL1054" s="129"/>
      <c r="AM1054" s="129"/>
      <c r="AN1054" s="44"/>
      <c r="AO1054" s="44"/>
    </row>
    <row r="1055" spans="2:41" ht="15.5">
      <c r="B1055" s="125"/>
      <c r="C1055" s="126"/>
      <c r="D1055" s="126"/>
      <c r="E1055" s="127"/>
      <c r="F1055" s="128"/>
      <c r="G1055" s="126"/>
      <c r="H1055" s="127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126"/>
      <c r="V1055" s="126"/>
      <c r="W1055" s="125"/>
      <c r="X1055" s="126"/>
      <c r="Y1055" s="126"/>
      <c r="Z1055" s="126"/>
      <c r="AA1055" s="126"/>
      <c r="AB1055" s="126"/>
      <c r="AC1055" s="126"/>
      <c r="AD1055" s="126"/>
      <c r="AE1055" s="127"/>
      <c r="AF1055" s="126"/>
      <c r="AG1055" s="126"/>
      <c r="AH1055" s="127"/>
      <c r="AI1055" s="126"/>
      <c r="AJ1055" s="127"/>
      <c r="AK1055" s="127"/>
      <c r="AL1055" s="129"/>
      <c r="AM1055" s="129"/>
      <c r="AN1055" s="44"/>
      <c r="AO1055" s="44"/>
    </row>
    <row r="1056" spans="2:41" ht="15.5">
      <c r="B1056" s="125"/>
      <c r="C1056" s="126"/>
      <c r="D1056" s="126"/>
      <c r="E1056" s="127"/>
      <c r="F1056" s="128"/>
      <c r="G1056" s="126"/>
      <c r="H1056" s="127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126"/>
      <c r="V1056" s="126"/>
      <c r="W1056" s="125"/>
      <c r="X1056" s="126"/>
      <c r="Y1056" s="126"/>
      <c r="Z1056" s="126"/>
      <c r="AA1056" s="126"/>
      <c r="AB1056" s="126"/>
      <c r="AC1056" s="126"/>
      <c r="AD1056" s="126"/>
      <c r="AE1056" s="127"/>
      <c r="AF1056" s="126"/>
      <c r="AG1056" s="126"/>
      <c r="AH1056" s="127"/>
      <c r="AI1056" s="126"/>
      <c r="AJ1056" s="127"/>
      <c r="AK1056" s="127"/>
      <c r="AL1056" s="129"/>
      <c r="AM1056" s="129"/>
      <c r="AN1056" s="44"/>
      <c r="AO1056" s="44"/>
    </row>
    <row r="1057" spans="2:41" ht="15.5">
      <c r="B1057" s="125"/>
      <c r="C1057" s="126"/>
      <c r="D1057" s="126"/>
      <c r="E1057" s="127"/>
      <c r="F1057" s="128"/>
      <c r="G1057" s="126"/>
      <c r="H1057" s="127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126"/>
      <c r="V1057" s="126"/>
      <c r="W1057" s="125"/>
      <c r="X1057" s="126"/>
      <c r="Y1057" s="126"/>
      <c r="Z1057" s="126"/>
      <c r="AA1057" s="126"/>
      <c r="AB1057" s="126"/>
      <c r="AC1057" s="126"/>
      <c r="AD1057" s="126"/>
      <c r="AE1057" s="127"/>
      <c r="AF1057" s="126"/>
      <c r="AG1057" s="126"/>
      <c r="AH1057" s="127"/>
      <c r="AI1057" s="126"/>
      <c r="AJ1057" s="127"/>
      <c r="AK1057" s="127"/>
      <c r="AL1057" s="129"/>
      <c r="AM1057" s="129"/>
      <c r="AN1057" s="44"/>
      <c r="AO1057" s="44"/>
    </row>
    <row r="1058" spans="2:41" ht="15.5">
      <c r="B1058" s="125"/>
      <c r="C1058" s="126"/>
      <c r="D1058" s="126"/>
      <c r="E1058" s="127"/>
      <c r="F1058" s="128"/>
      <c r="G1058" s="126"/>
      <c r="H1058" s="127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126"/>
      <c r="V1058" s="126"/>
      <c r="W1058" s="125"/>
      <c r="X1058" s="126"/>
      <c r="Y1058" s="126"/>
      <c r="Z1058" s="126"/>
      <c r="AA1058" s="126"/>
      <c r="AB1058" s="126"/>
      <c r="AC1058" s="126"/>
      <c r="AD1058" s="126"/>
      <c r="AE1058" s="127"/>
      <c r="AF1058" s="126"/>
      <c r="AG1058" s="126"/>
      <c r="AH1058" s="127"/>
      <c r="AI1058" s="126"/>
      <c r="AJ1058" s="127"/>
      <c r="AK1058" s="127"/>
      <c r="AL1058" s="129"/>
      <c r="AM1058" s="129"/>
      <c r="AN1058" s="44"/>
      <c r="AO1058" s="44"/>
    </row>
    <row r="1059" spans="2:41" ht="15.5">
      <c r="B1059" s="125"/>
      <c r="C1059" s="126"/>
      <c r="D1059" s="126"/>
      <c r="E1059" s="127"/>
      <c r="F1059" s="128"/>
      <c r="G1059" s="126"/>
      <c r="H1059" s="127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126"/>
      <c r="V1059" s="126"/>
      <c r="W1059" s="125"/>
      <c r="X1059" s="126"/>
      <c r="Y1059" s="126"/>
      <c r="Z1059" s="126"/>
      <c r="AA1059" s="126"/>
      <c r="AB1059" s="126"/>
      <c r="AC1059" s="126"/>
      <c r="AD1059" s="126"/>
      <c r="AE1059" s="127"/>
      <c r="AF1059" s="126"/>
      <c r="AG1059" s="126"/>
      <c r="AH1059" s="127"/>
      <c r="AI1059" s="126"/>
      <c r="AJ1059" s="127"/>
      <c r="AK1059" s="127"/>
      <c r="AL1059" s="129"/>
      <c r="AM1059" s="129"/>
      <c r="AN1059" s="44"/>
      <c r="AO1059" s="44"/>
    </row>
    <row r="1060" spans="2:41" ht="15.5">
      <c r="B1060" s="125"/>
      <c r="C1060" s="126"/>
      <c r="D1060" s="126"/>
      <c r="E1060" s="127"/>
      <c r="F1060" s="128"/>
      <c r="G1060" s="126"/>
      <c r="H1060" s="127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126"/>
      <c r="V1060" s="126"/>
      <c r="W1060" s="125"/>
      <c r="X1060" s="126"/>
      <c r="Y1060" s="126"/>
      <c r="Z1060" s="126"/>
      <c r="AA1060" s="126"/>
      <c r="AB1060" s="126"/>
      <c r="AC1060" s="126"/>
      <c r="AD1060" s="126"/>
      <c r="AE1060" s="127"/>
      <c r="AF1060" s="126"/>
      <c r="AG1060" s="126"/>
      <c r="AH1060" s="127"/>
      <c r="AI1060" s="126"/>
      <c r="AJ1060" s="127"/>
      <c r="AK1060" s="127"/>
      <c r="AL1060" s="129"/>
      <c r="AM1060" s="129"/>
      <c r="AN1060" s="44"/>
      <c r="AO1060" s="44"/>
    </row>
    <row r="1061" spans="2:41" ht="15.5">
      <c r="B1061" s="125"/>
      <c r="C1061" s="126"/>
      <c r="D1061" s="126"/>
      <c r="E1061" s="127"/>
      <c r="F1061" s="128"/>
      <c r="G1061" s="126"/>
      <c r="H1061" s="127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126"/>
      <c r="V1061" s="126"/>
      <c r="W1061" s="125"/>
      <c r="X1061" s="126"/>
      <c r="Y1061" s="126"/>
      <c r="Z1061" s="126"/>
      <c r="AA1061" s="126"/>
      <c r="AB1061" s="126"/>
      <c r="AC1061" s="126"/>
      <c r="AD1061" s="126"/>
      <c r="AE1061" s="127"/>
      <c r="AF1061" s="126"/>
      <c r="AG1061" s="126"/>
      <c r="AH1061" s="127"/>
      <c r="AI1061" s="126"/>
      <c r="AJ1061" s="127"/>
      <c r="AK1061" s="127"/>
      <c r="AL1061" s="129"/>
      <c r="AM1061" s="129"/>
      <c r="AN1061" s="44"/>
      <c r="AO1061" s="44"/>
    </row>
    <row r="1062" spans="2:41" ht="15.5">
      <c r="B1062" s="125"/>
      <c r="C1062" s="126"/>
      <c r="D1062" s="126"/>
      <c r="E1062" s="127"/>
      <c r="F1062" s="128"/>
      <c r="G1062" s="126"/>
      <c r="H1062" s="127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126"/>
      <c r="V1062" s="126"/>
      <c r="W1062" s="125"/>
      <c r="X1062" s="126"/>
      <c r="Y1062" s="126"/>
      <c r="Z1062" s="126"/>
      <c r="AA1062" s="126"/>
      <c r="AB1062" s="126"/>
      <c r="AC1062" s="126"/>
      <c r="AD1062" s="126"/>
      <c r="AE1062" s="127"/>
      <c r="AF1062" s="126"/>
      <c r="AG1062" s="126"/>
      <c r="AH1062" s="127"/>
      <c r="AI1062" s="126"/>
      <c r="AJ1062" s="127"/>
      <c r="AK1062" s="127"/>
      <c r="AL1062" s="129"/>
      <c r="AM1062" s="129"/>
      <c r="AN1062" s="44"/>
      <c r="AO1062" s="44"/>
    </row>
    <row r="1063" spans="2:41" ht="15.5">
      <c r="B1063" s="125"/>
      <c r="C1063" s="126"/>
      <c r="D1063" s="126"/>
      <c r="E1063" s="127"/>
      <c r="F1063" s="128"/>
      <c r="G1063" s="126"/>
      <c r="H1063" s="127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126"/>
      <c r="V1063" s="126"/>
      <c r="W1063" s="125"/>
      <c r="X1063" s="126"/>
      <c r="Y1063" s="126"/>
      <c r="Z1063" s="126"/>
      <c r="AA1063" s="126"/>
      <c r="AB1063" s="126"/>
      <c r="AC1063" s="126"/>
      <c r="AD1063" s="126"/>
      <c r="AE1063" s="127"/>
      <c r="AF1063" s="126"/>
      <c r="AG1063" s="126"/>
      <c r="AH1063" s="127"/>
      <c r="AI1063" s="126"/>
      <c r="AJ1063" s="127"/>
      <c r="AK1063" s="127"/>
      <c r="AL1063" s="129"/>
      <c r="AM1063" s="129"/>
      <c r="AN1063" s="44"/>
      <c r="AO1063" s="44"/>
    </row>
    <row r="1064" spans="2:41" ht="15.5">
      <c r="B1064" s="125"/>
      <c r="C1064" s="126"/>
      <c r="D1064" s="126"/>
      <c r="E1064" s="127"/>
      <c r="F1064" s="128"/>
      <c r="G1064" s="126"/>
      <c r="H1064" s="127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126"/>
      <c r="V1064" s="126"/>
      <c r="W1064" s="125"/>
      <c r="X1064" s="126"/>
      <c r="Y1064" s="126"/>
      <c r="Z1064" s="126"/>
      <c r="AA1064" s="126"/>
      <c r="AB1064" s="126"/>
      <c r="AC1064" s="126"/>
      <c r="AD1064" s="126"/>
      <c r="AE1064" s="127"/>
      <c r="AF1064" s="126"/>
      <c r="AG1064" s="126"/>
      <c r="AH1064" s="127"/>
      <c r="AI1064" s="126"/>
      <c r="AJ1064" s="127"/>
      <c r="AK1064" s="127"/>
      <c r="AL1064" s="129"/>
      <c r="AM1064" s="129"/>
      <c r="AN1064" s="44"/>
      <c r="AO1064" s="44"/>
    </row>
    <row r="1065" spans="2:41" ht="15.5">
      <c r="B1065" s="125"/>
      <c r="C1065" s="126"/>
      <c r="D1065" s="126"/>
      <c r="E1065" s="127"/>
      <c r="F1065" s="128"/>
      <c r="G1065" s="126"/>
      <c r="H1065" s="127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126"/>
      <c r="V1065" s="126"/>
      <c r="W1065" s="125"/>
      <c r="X1065" s="126"/>
      <c r="Y1065" s="126"/>
      <c r="Z1065" s="126"/>
      <c r="AA1065" s="126"/>
      <c r="AB1065" s="126"/>
      <c r="AC1065" s="126"/>
      <c r="AD1065" s="126"/>
      <c r="AE1065" s="127"/>
      <c r="AF1065" s="126"/>
      <c r="AG1065" s="126"/>
      <c r="AH1065" s="127"/>
      <c r="AI1065" s="126"/>
      <c r="AJ1065" s="127"/>
      <c r="AK1065" s="127"/>
      <c r="AL1065" s="129"/>
      <c r="AM1065" s="129"/>
      <c r="AN1065" s="44"/>
      <c r="AO1065" s="44"/>
    </row>
    <row r="1066" spans="2:41" ht="15.5">
      <c r="B1066" s="125"/>
      <c r="C1066" s="126"/>
      <c r="D1066" s="126"/>
      <c r="E1066" s="127"/>
      <c r="F1066" s="128"/>
      <c r="G1066" s="126"/>
      <c r="H1066" s="127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126"/>
      <c r="V1066" s="126"/>
      <c r="W1066" s="125"/>
      <c r="X1066" s="126"/>
      <c r="Y1066" s="126"/>
      <c r="Z1066" s="126"/>
      <c r="AA1066" s="126"/>
      <c r="AB1066" s="126"/>
      <c r="AC1066" s="126"/>
      <c r="AD1066" s="126"/>
      <c r="AE1066" s="127"/>
      <c r="AF1066" s="126"/>
      <c r="AG1066" s="126"/>
      <c r="AH1066" s="127"/>
      <c r="AI1066" s="126"/>
      <c r="AJ1066" s="127"/>
      <c r="AK1066" s="127"/>
      <c r="AL1066" s="129"/>
      <c r="AM1066" s="129"/>
      <c r="AN1066" s="44"/>
      <c r="AO1066" s="44"/>
    </row>
    <row r="1067" spans="2:41" ht="15.5">
      <c r="B1067" s="125"/>
      <c r="C1067" s="126"/>
      <c r="D1067" s="126"/>
      <c r="E1067" s="127"/>
      <c r="F1067" s="128"/>
      <c r="G1067" s="126"/>
      <c r="H1067" s="127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126"/>
      <c r="V1067" s="126"/>
      <c r="W1067" s="125"/>
      <c r="X1067" s="126"/>
      <c r="Y1067" s="126"/>
      <c r="Z1067" s="126"/>
      <c r="AA1067" s="126"/>
      <c r="AB1067" s="126"/>
      <c r="AC1067" s="126"/>
      <c r="AD1067" s="126"/>
      <c r="AE1067" s="127"/>
      <c r="AF1067" s="126"/>
      <c r="AG1067" s="126"/>
      <c r="AH1067" s="127"/>
      <c r="AI1067" s="126"/>
      <c r="AJ1067" s="127"/>
      <c r="AK1067" s="127"/>
      <c r="AL1067" s="129"/>
      <c r="AM1067" s="129"/>
      <c r="AN1067" s="44"/>
      <c r="AO1067" s="44"/>
    </row>
    <row r="1068" spans="2:41" ht="15.5">
      <c r="B1068" s="125"/>
      <c r="C1068" s="126"/>
      <c r="D1068" s="126"/>
      <c r="E1068" s="127"/>
      <c r="F1068" s="128"/>
      <c r="G1068" s="126"/>
      <c r="H1068" s="127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126"/>
      <c r="V1068" s="126"/>
      <c r="W1068" s="125"/>
      <c r="X1068" s="126"/>
      <c r="Y1068" s="126"/>
      <c r="Z1068" s="126"/>
      <c r="AA1068" s="126"/>
      <c r="AB1068" s="126"/>
      <c r="AC1068" s="126"/>
      <c r="AD1068" s="126"/>
      <c r="AE1068" s="127"/>
      <c r="AF1068" s="126"/>
      <c r="AG1068" s="126"/>
      <c r="AH1068" s="127"/>
      <c r="AI1068" s="126"/>
      <c r="AJ1068" s="127"/>
      <c r="AK1068" s="127"/>
      <c r="AL1068" s="129"/>
      <c r="AM1068" s="129"/>
      <c r="AN1068" s="44"/>
      <c r="AO1068" s="44"/>
    </row>
    <row r="1069" spans="2:41" ht="15.5">
      <c r="B1069" s="125"/>
      <c r="C1069" s="126"/>
      <c r="D1069" s="126"/>
      <c r="E1069" s="127"/>
      <c r="F1069" s="128"/>
      <c r="G1069" s="126"/>
      <c r="H1069" s="127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6"/>
      <c r="V1069" s="126"/>
      <c r="W1069" s="125"/>
      <c r="X1069" s="126"/>
      <c r="Y1069" s="126"/>
      <c r="Z1069" s="126"/>
      <c r="AA1069" s="126"/>
      <c r="AB1069" s="126"/>
      <c r="AC1069" s="126"/>
      <c r="AD1069" s="126"/>
      <c r="AE1069" s="127"/>
      <c r="AF1069" s="126"/>
      <c r="AG1069" s="126"/>
      <c r="AH1069" s="127"/>
      <c r="AI1069" s="126"/>
      <c r="AJ1069" s="127"/>
      <c r="AK1069" s="127"/>
      <c r="AL1069" s="129"/>
      <c r="AM1069" s="129"/>
      <c r="AN1069" s="44"/>
      <c r="AO1069" s="44"/>
    </row>
    <row r="1070" spans="2:41" ht="15.5">
      <c r="B1070" s="125"/>
      <c r="C1070" s="126"/>
      <c r="D1070" s="126"/>
      <c r="E1070" s="127"/>
      <c r="F1070" s="128"/>
      <c r="G1070" s="126"/>
      <c r="H1070" s="127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6"/>
      <c r="V1070" s="126"/>
      <c r="W1070" s="125"/>
      <c r="X1070" s="126"/>
      <c r="Y1070" s="126"/>
      <c r="Z1070" s="126"/>
      <c r="AA1070" s="126"/>
      <c r="AB1070" s="126"/>
      <c r="AC1070" s="126"/>
      <c r="AD1070" s="126"/>
      <c r="AE1070" s="127"/>
      <c r="AF1070" s="126"/>
      <c r="AG1070" s="126"/>
      <c r="AH1070" s="127"/>
      <c r="AI1070" s="126"/>
      <c r="AJ1070" s="127"/>
      <c r="AK1070" s="127"/>
      <c r="AL1070" s="129"/>
      <c r="AM1070" s="129"/>
      <c r="AN1070" s="44"/>
      <c r="AO1070" s="44"/>
    </row>
    <row r="1071" spans="2:41" ht="15.5">
      <c r="B1071" s="125"/>
      <c r="C1071" s="126"/>
      <c r="D1071" s="126"/>
      <c r="E1071" s="127"/>
      <c r="F1071" s="128"/>
      <c r="G1071" s="126"/>
      <c r="H1071" s="127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6"/>
      <c r="V1071" s="126"/>
      <c r="W1071" s="125"/>
      <c r="X1071" s="126"/>
      <c r="Y1071" s="126"/>
      <c r="Z1071" s="126"/>
      <c r="AA1071" s="126"/>
      <c r="AB1071" s="126"/>
      <c r="AC1071" s="126"/>
      <c r="AD1071" s="126"/>
      <c r="AE1071" s="127"/>
      <c r="AF1071" s="126"/>
      <c r="AG1071" s="126"/>
      <c r="AH1071" s="127"/>
      <c r="AI1071" s="126"/>
      <c r="AJ1071" s="127"/>
      <c r="AK1071" s="127"/>
      <c r="AL1071" s="129"/>
      <c r="AM1071" s="129"/>
      <c r="AN1071" s="44"/>
      <c r="AO1071" s="44"/>
    </row>
    <row r="1072" spans="2:41" ht="15.5">
      <c r="B1072" s="125"/>
      <c r="C1072" s="126"/>
      <c r="D1072" s="126"/>
      <c r="E1072" s="127"/>
      <c r="F1072" s="128"/>
      <c r="G1072" s="126"/>
      <c r="H1072" s="127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6"/>
      <c r="V1072" s="126"/>
      <c r="W1072" s="125"/>
      <c r="X1072" s="126"/>
      <c r="Y1072" s="126"/>
      <c r="Z1072" s="126"/>
      <c r="AA1072" s="126"/>
      <c r="AB1072" s="126"/>
      <c r="AC1072" s="126"/>
      <c r="AD1072" s="126"/>
      <c r="AE1072" s="127"/>
      <c r="AF1072" s="126"/>
      <c r="AG1072" s="126"/>
      <c r="AH1072" s="127"/>
      <c r="AI1072" s="126"/>
      <c r="AJ1072" s="127"/>
      <c r="AK1072" s="127"/>
      <c r="AL1072" s="129"/>
      <c r="AM1072" s="129"/>
      <c r="AN1072" s="44"/>
      <c r="AO1072" s="44"/>
    </row>
    <row r="1073" spans="2:41" ht="15.5">
      <c r="B1073" s="125"/>
      <c r="C1073" s="126"/>
      <c r="D1073" s="126"/>
      <c r="E1073" s="127"/>
      <c r="F1073" s="128"/>
      <c r="G1073" s="126"/>
      <c r="H1073" s="127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6"/>
      <c r="V1073" s="126"/>
      <c r="W1073" s="125"/>
      <c r="X1073" s="126"/>
      <c r="Y1073" s="126"/>
      <c r="Z1073" s="126"/>
      <c r="AA1073" s="126"/>
      <c r="AB1073" s="126"/>
      <c r="AC1073" s="126"/>
      <c r="AD1073" s="126"/>
      <c r="AE1073" s="127"/>
      <c r="AF1073" s="126"/>
      <c r="AG1073" s="126"/>
      <c r="AH1073" s="127"/>
      <c r="AI1073" s="126"/>
      <c r="AJ1073" s="127"/>
      <c r="AK1073" s="127"/>
      <c r="AL1073" s="129"/>
      <c r="AM1073" s="129"/>
      <c r="AN1073" s="44"/>
      <c r="AO1073" s="44"/>
    </row>
    <row r="1074" spans="2:41" ht="15.5">
      <c r="B1074" s="125"/>
      <c r="C1074" s="126"/>
      <c r="D1074" s="126"/>
      <c r="E1074" s="127"/>
      <c r="F1074" s="128"/>
      <c r="G1074" s="126"/>
      <c r="H1074" s="127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6"/>
      <c r="V1074" s="126"/>
      <c r="W1074" s="125"/>
      <c r="X1074" s="126"/>
      <c r="Y1074" s="126"/>
      <c r="Z1074" s="126"/>
      <c r="AA1074" s="126"/>
      <c r="AB1074" s="126"/>
      <c r="AC1074" s="126"/>
      <c r="AD1074" s="126"/>
      <c r="AE1074" s="127"/>
      <c r="AF1074" s="126"/>
      <c r="AG1074" s="126"/>
      <c r="AH1074" s="127"/>
      <c r="AI1074" s="126"/>
      <c r="AJ1074" s="127"/>
      <c r="AK1074" s="127"/>
      <c r="AL1074" s="129"/>
      <c r="AM1074" s="129"/>
      <c r="AN1074" s="44"/>
      <c r="AO1074" s="44"/>
    </row>
    <row r="1075" spans="2:41" ht="15.5">
      <c r="B1075" s="125"/>
      <c r="C1075" s="126"/>
      <c r="D1075" s="126"/>
      <c r="E1075" s="127"/>
      <c r="F1075" s="128"/>
      <c r="G1075" s="126"/>
      <c r="H1075" s="127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6"/>
      <c r="V1075" s="126"/>
      <c r="W1075" s="125"/>
      <c r="X1075" s="126"/>
      <c r="Y1075" s="126"/>
      <c r="Z1075" s="126"/>
      <c r="AA1075" s="126"/>
      <c r="AB1075" s="126"/>
      <c r="AC1075" s="126"/>
      <c r="AD1075" s="126"/>
      <c r="AE1075" s="127"/>
      <c r="AF1075" s="126"/>
      <c r="AG1075" s="126"/>
      <c r="AH1075" s="127"/>
      <c r="AI1075" s="126"/>
      <c r="AJ1075" s="127"/>
      <c r="AK1075" s="127"/>
      <c r="AL1075" s="129"/>
      <c r="AM1075" s="129"/>
      <c r="AN1075" s="44"/>
      <c r="AO1075" s="44"/>
    </row>
    <row r="1076" spans="2:41" ht="15.5">
      <c r="B1076" s="125"/>
      <c r="C1076" s="126"/>
      <c r="D1076" s="126"/>
      <c r="E1076" s="127"/>
      <c r="F1076" s="128"/>
      <c r="G1076" s="126"/>
      <c r="H1076" s="127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6"/>
      <c r="V1076" s="126"/>
      <c r="W1076" s="125"/>
      <c r="X1076" s="126"/>
      <c r="Y1076" s="126"/>
      <c r="Z1076" s="126"/>
      <c r="AA1076" s="126"/>
      <c r="AB1076" s="126"/>
      <c r="AC1076" s="126"/>
      <c r="AD1076" s="126"/>
      <c r="AE1076" s="127"/>
      <c r="AF1076" s="126"/>
      <c r="AG1076" s="126"/>
      <c r="AH1076" s="127"/>
      <c r="AI1076" s="126"/>
      <c r="AJ1076" s="127"/>
      <c r="AK1076" s="127"/>
      <c r="AL1076" s="129"/>
      <c r="AM1076" s="129"/>
      <c r="AN1076" s="44"/>
      <c r="AO1076" s="44"/>
    </row>
    <row r="1077" spans="2:41" ht="15.5">
      <c r="B1077" s="125"/>
      <c r="C1077" s="126"/>
      <c r="D1077" s="126"/>
      <c r="E1077" s="127"/>
      <c r="F1077" s="128"/>
      <c r="G1077" s="126"/>
      <c r="H1077" s="127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6"/>
      <c r="V1077" s="126"/>
      <c r="W1077" s="125"/>
      <c r="X1077" s="126"/>
      <c r="Y1077" s="126"/>
      <c r="Z1077" s="126"/>
      <c r="AA1077" s="126"/>
      <c r="AB1077" s="126"/>
      <c r="AC1077" s="126"/>
      <c r="AD1077" s="126"/>
      <c r="AE1077" s="127"/>
      <c r="AF1077" s="126"/>
      <c r="AG1077" s="126"/>
      <c r="AH1077" s="127"/>
      <c r="AI1077" s="126"/>
      <c r="AJ1077" s="127"/>
      <c r="AK1077" s="127"/>
      <c r="AL1077" s="129"/>
      <c r="AM1077" s="129"/>
      <c r="AN1077" s="44"/>
      <c r="AO1077" s="44"/>
    </row>
    <row r="1078" spans="2:41" ht="15.5">
      <c r="B1078" s="125"/>
      <c r="C1078" s="126"/>
      <c r="D1078" s="126"/>
      <c r="E1078" s="127"/>
      <c r="F1078" s="128"/>
      <c r="G1078" s="126"/>
      <c r="H1078" s="127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6"/>
      <c r="V1078" s="126"/>
      <c r="W1078" s="125"/>
      <c r="X1078" s="126"/>
      <c r="Y1078" s="126"/>
      <c r="Z1078" s="126"/>
      <c r="AA1078" s="126"/>
      <c r="AB1078" s="126"/>
      <c r="AC1078" s="126"/>
      <c r="AD1078" s="126"/>
      <c r="AE1078" s="127"/>
      <c r="AF1078" s="126"/>
      <c r="AG1078" s="126"/>
      <c r="AH1078" s="127"/>
      <c r="AI1078" s="126"/>
      <c r="AJ1078" s="127"/>
      <c r="AK1078" s="127"/>
      <c r="AL1078" s="129"/>
      <c r="AM1078" s="129"/>
      <c r="AN1078" s="44"/>
      <c r="AO1078" s="44"/>
    </row>
    <row r="1079" spans="2:41" ht="15.5">
      <c r="B1079" s="125"/>
      <c r="C1079" s="126"/>
      <c r="D1079" s="126"/>
      <c r="E1079" s="127"/>
      <c r="F1079" s="128"/>
      <c r="G1079" s="126"/>
      <c r="H1079" s="127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6"/>
      <c r="V1079" s="126"/>
      <c r="W1079" s="125"/>
      <c r="X1079" s="126"/>
      <c r="Y1079" s="126"/>
      <c r="Z1079" s="126"/>
      <c r="AA1079" s="126"/>
      <c r="AB1079" s="126"/>
      <c r="AC1079" s="126"/>
      <c r="AD1079" s="126"/>
      <c r="AE1079" s="127"/>
      <c r="AF1079" s="126"/>
      <c r="AG1079" s="126"/>
      <c r="AH1079" s="127"/>
      <c r="AI1079" s="126"/>
      <c r="AJ1079" s="127"/>
      <c r="AK1079" s="127"/>
      <c r="AL1079" s="129"/>
      <c r="AM1079" s="129"/>
      <c r="AN1079" s="44"/>
      <c r="AO1079" s="44"/>
    </row>
    <row r="1080" spans="2:41" ht="15.5">
      <c r="B1080" s="125"/>
      <c r="C1080" s="126"/>
      <c r="D1080" s="126"/>
      <c r="E1080" s="127"/>
      <c r="F1080" s="128"/>
      <c r="G1080" s="126"/>
      <c r="H1080" s="127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6"/>
      <c r="V1080" s="126"/>
      <c r="W1080" s="125"/>
      <c r="X1080" s="126"/>
      <c r="Y1080" s="126"/>
      <c r="Z1080" s="126"/>
      <c r="AA1080" s="126"/>
      <c r="AB1080" s="126"/>
      <c r="AC1080" s="126"/>
      <c r="AD1080" s="126"/>
      <c r="AE1080" s="127"/>
      <c r="AF1080" s="126"/>
      <c r="AG1080" s="126"/>
      <c r="AH1080" s="127"/>
      <c r="AI1080" s="126"/>
      <c r="AJ1080" s="127"/>
      <c r="AK1080" s="127"/>
      <c r="AL1080" s="129"/>
      <c r="AM1080" s="129"/>
      <c r="AN1080" s="44"/>
      <c r="AO1080" s="44"/>
    </row>
    <row r="1081" spans="2:41" ht="15.5">
      <c r="B1081" s="125"/>
      <c r="C1081" s="126"/>
      <c r="D1081" s="126"/>
      <c r="E1081" s="127"/>
      <c r="F1081" s="128"/>
      <c r="G1081" s="126"/>
      <c r="H1081" s="127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6"/>
      <c r="V1081" s="126"/>
      <c r="W1081" s="125"/>
      <c r="X1081" s="126"/>
      <c r="Y1081" s="126"/>
      <c r="Z1081" s="126"/>
      <c r="AA1081" s="126"/>
      <c r="AB1081" s="126"/>
      <c r="AC1081" s="126"/>
      <c r="AD1081" s="126"/>
      <c r="AE1081" s="127"/>
      <c r="AF1081" s="126"/>
      <c r="AG1081" s="126"/>
      <c r="AH1081" s="127"/>
      <c r="AI1081" s="126"/>
      <c r="AJ1081" s="127"/>
      <c r="AK1081" s="127"/>
      <c r="AL1081" s="129"/>
      <c r="AM1081" s="129"/>
      <c r="AN1081" s="44"/>
      <c r="AO1081" s="44"/>
    </row>
    <row r="1082" spans="2:41" ht="15.5">
      <c r="B1082" s="125"/>
      <c r="C1082" s="126"/>
      <c r="D1082" s="126"/>
      <c r="E1082" s="127"/>
      <c r="F1082" s="128"/>
      <c r="G1082" s="126"/>
      <c r="H1082" s="127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6"/>
      <c r="V1082" s="126"/>
      <c r="W1082" s="125"/>
      <c r="X1082" s="126"/>
      <c r="Y1082" s="126"/>
      <c r="Z1082" s="126"/>
      <c r="AA1082" s="126"/>
      <c r="AB1082" s="126"/>
      <c r="AC1082" s="126"/>
      <c r="AD1082" s="126"/>
      <c r="AE1082" s="127"/>
      <c r="AF1082" s="126"/>
      <c r="AG1082" s="126"/>
      <c r="AH1082" s="127"/>
      <c r="AI1082" s="126"/>
      <c r="AJ1082" s="127"/>
      <c r="AK1082" s="127"/>
      <c r="AL1082" s="129"/>
      <c r="AM1082" s="129"/>
      <c r="AN1082" s="44"/>
      <c r="AO1082" s="44"/>
    </row>
    <row r="1083" spans="2:41" ht="15.5">
      <c r="B1083" s="125"/>
      <c r="C1083" s="126"/>
      <c r="D1083" s="126"/>
      <c r="E1083" s="127"/>
      <c r="F1083" s="128"/>
      <c r="G1083" s="126"/>
      <c r="H1083" s="127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6"/>
      <c r="V1083" s="126"/>
      <c r="W1083" s="125"/>
      <c r="X1083" s="126"/>
      <c r="Y1083" s="126"/>
      <c r="Z1083" s="126"/>
      <c r="AA1083" s="126"/>
      <c r="AB1083" s="126"/>
      <c r="AC1083" s="126"/>
      <c r="AD1083" s="126"/>
      <c r="AE1083" s="127"/>
      <c r="AF1083" s="126"/>
      <c r="AG1083" s="126"/>
      <c r="AH1083" s="127"/>
      <c r="AI1083" s="126"/>
      <c r="AJ1083" s="127"/>
      <c r="AK1083" s="127"/>
      <c r="AL1083" s="129"/>
      <c r="AM1083" s="129"/>
      <c r="AN1083" s="44"/>
      <c r="AO1083" s="44"/>
    </row>
    <row r="1084" spans="2:41" ht="15.5">
      <c r="B1084" s="125"/>
      <c r="C1084" s="126"/>
      <c r="D1084" s="126"/>
      <c r="E1084" s="127"/>
      <c r="F1084" s="128"/>
      <c r="G1084" s="126"/>
      <c r="H1084" s="127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6"/>
      <c r="V1084" s="126"/>
      <c r="W1084" s="125"/>
      <c r="X1084" s="126"/>
      <c r="Y1084" s="126"/>
      <c r="Z1084" s="126"/>
      <c r="AA1084" s="126"/>
      <c r="AB1084" s="126"/>
      <c r="AC1084" s="126"/>
      <c r="AD1084" s="126"/>
      <c r="AE1084" s="127"/>
      <c r="AF1084" s="126"/>
      <c r="AG1084" s="126"/>
      <c r="AH1084" s="127"/>
      <c r="AI1084" s="126"/>
      <c r="AJ1084" s="127"/>
      <c r="AK1084" s="127"/>
      <c r="AL1084" s="129"/>
      <c r="AM1084" s="129"/>
      <c r="AN1084" s="44"/>
      <c r="AO1084" s="44"/>
    </row>
    <row r="1085" spans="2:41" ht="15.5">
      <c r="B1085" s="125"/>
      <c r="C1085" s="126"/>
      <c r="D1085" s="126"/>
      <c r="E1085" s="127"/>
      <c r="F1085" s="128"/>
      <c r="G1085" s="126"/>
      <c r="H1085" s="127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6"/>
      <c r="V1085" s="126"/>
      <c r="W1085" s="125"/>
      <c r="X1085" s="126"/>
      <c r="Y1085" s="126"/>
      <c r="Z1085" s="126"/>
      <c r="AA1085" s="126"/>
      <c r="AB1085" s="126"/>
      <c r="AC1085" s="126"/>
      <c r="AD1085" s="126"/>
      <c r="AE1085" s="127"/>
      <c r="AF1085" s="126"/>
      <c r="AG1085" s="126"/>
      <c r="AH1085" s="127"/>
      <c r="AI1085" s="126"/>
      <c r="AJ1085" s="127"/>
      <c r="AK1085" s="127"/>
      <c r="AL1085" s="129"/>
      <c r="AM1085" s="129"/>
      <c r="AN1085" s="44"/>
      <c r="AO1085" s="44"/>
    </row>
    <row r="1086" spans="2:41" ht="15.5">
      <c r="B1086" s="125"/>
      <c r="C1086" s="126"/>
      <c r="D1086" s="126"/>
      <c r="E1086" s="127"/>
      <c r="F1086" s="128"/>
      <c r="G1086" s="126"/>
      <c r="H1086" s="127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6"/>
      <c r="V1086" s="126"/>
      <c r="W1086" s="125"/>
      <c r="X1086" s="126"/>
      <c r="Y1086" s="126"/>
      <c r="Z1086" s="126"/>
      <c r="AA1086" s="126"/>
      <c r="AB1086" s="126"/>
      <c r="AC1086" s="126"/>
      <c r="AD1086" s="126"/>
      <c r="AE1086" s="127"/>
      <c r="AF1086" s="126"/>
      <c r="AG1086" s="126"/>
      <c r="AH1086" s="127"/>
      <c r="AI1086" s="126"/>
      <c r="AJ1086" s="127"/>
      <c r="AK1086" s="127"/>
      <c r="AL1086" s="129"/>
      <c r="AM1086" s="129"/>
      <c r="AN1086" s="44"/>
      <c r="AO1086" s="44"/>
    </row>
    <row r="1087" spans="2:41" ht="15.5">
      <c r="B1087" s="125"/>
      <c r="C1087" s="126"/>
      <c r="D1087" s="126"/>
      <c r="E1087" s="127"/>
      <c r="F1087" s="128"/>
      <c r="G1087" s="126"/>
      <c r="H1087" s="127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6"/>
      <c r="V1087" s="126"/>
      <c r="W1087" s="125"/>
      <c r="X1087" s="126"/>
      <c r="Y1087" s="126"/>
      <c r="Z1087" s="126"/>
      <c r="AA1087" s="126"/>
      <c r="AB1087" s="126"/>
      <c r="AC1087" s="126"/>
      <c r="AD1087" s="126"/>
      <c r="AE1087" s="127"/>
      <c r="AF1087" s="126"/>
      <c r="AG1087" s="126"/>
      <c r="AH1087" s="127"/>
      <c r="AI1087" s="126"/>
      <c r="AJ1087" s="127"/>
      <c r="AK1087" s="127"/>
      <c r="AL1087" s="129"/>
      <c r="AM1087" s="129"/>
      <c r="AN1087" s="44"/>
      <c r="AO1087" s="44"/>
    </row>
    <row r="1088" spans="2:41" ht="15.5">
      <c r="B1088" s="125"/>
      <c r="C1088" s="126"/>
      <c r="D1088" s="126"/>
      <c r="E1088" s="127"/>
      <c r="F1088" s="128"/>
      <c r="G1088" s="126"/>
      <c r="H1088" s="127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6"/>
      <c r="V1088" s="126"/>
      <c r="W1088" s="125"/>
      <c r="X1088" s="126"/>
      <c r="Y1088" s="126"/>
      <c r="Z1088" s="126"/>
      <c r="AA1088" s="126"/>
      <c r="AB1088" s="126"/>
      <c r="AC1088" s="126"/>
      <c r="AD1088" s="126"/>
      <c r="AE1088" s="127"/>
      <c r="AF1088" s="126"/>
      <c r="AG1088" s="126"/>
      <c r="AH1088" s="127"/>
      <c r="AI1088" s="126"/>
      <c r="AJ1088" s="127"/>
      <c r="AK1088" s="127"/>
      <c r="AL1088" s="129"/>
      <c r="AM1088" s="129"/>
      <c r="AN1088" s="44"/>
      <c r="AO1088" s="44"/>
    </row>
    <row r="1089" spans="2:41" ht="15.5">
      <c r="B1089" s="125"/>
      <c r="C1089" s="126"/>
      <c r="D1089" s="126"/>
      <c r="E1089" s="127"/>
      <c r="F1089" s="128"/>
      <c r="G1089" s="126"/>
      <c r="H1089" s="127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6"/>
      <c r="V1089" s="126"/>
      <c r="W1089" s="125"/>
      <c r="X1089" s="126"/>
      <c r="Y1089" s="126"/>
      <c r="Z1089" s="126"/>
      <c r="AA1089" s="126"/>
      <c r="AB1089" s="126"/>
      <c r="AC1089" s="126"/>
      <c r="AD1089" s="126"/>
      <c r="AE1089" s="127"/>
      <c r="AF1089" s="126"/>
      <c r="AG1089" s="126"/>
      <c r="AH1089" s="127"/>
      <c r="AI1089" s="126"/>
      <c r="AJ1089" s="127"/>
      <c r="AK1089" s="127"/>
      <c r="AL1089" s="129"/>
      <c r="AM1089" s="129"/>
      <c r="AN1089" s="44"/>
      <c r="AO1089" s="44"/>
    </row>
    <row r="1090" spans="2:41" ht="15.5">
      <c r="B1090" s="125"/>
      <c r="C1090" s="126"/>
      <c r="D1090" s="126"/>
      <c r="E1090" s="127"/>
      <c r="F1090" s="128"/>
      <c r="G1090" s="126"/>
      <c r="H1090" s="127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6"/>
      <c r="V1090" s="126"/>
      <c r="W1090" s="125"/>
      <c r="X1090" s="126"/>
      <c r="Y1090" s="126"/>
      <c r="Z1090" s="126"/>
      <c r="AA1090" s="126"/>
      <c r="AB1090" s="126"/>
      <c r="AC1090" s="126"/>
      <c r="AD1090" s="126"/>
      <c r="AE1090" s="127"/>
      <c r="AF1090" s="126"/>
      <c r="AG1090" s="126"/>
      <c r="AH1090" s="127"/>
      <c r="AI1090" s="126"/>
      <c r="AJ1090" s="127"/>
      <c r="AK1090" s="127"/>
      <c r="AL1090" s="129"/>
      <c r="AM1090" s="129"/>
      <c r="AN1090" s="44"/>
      <c r="AO1090" s="44"/>
    </row>
    <row r="1091" spans="2:41" ht="15.5">
      <c r="B1091" s="125"/>
      <c r="C1091" s="126"/>
      <c r="D1091" s="126"/>
      <c r="E1091" s="127"/>
      <c r="F1091" s="128"/>
      <c r="G1091" s="126"/>
      <c r="H1091" s="127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6"/>
      <c r="V1091" s="126"/>
      <c r="W1091" s="125"/>
      <c r="X1091" s="126"/>
      <c r="Y1091" s="126"/>
      <c r="Z1091" s="126"/>
      <c r="AA1091" s="126"/>
      <c r="AB1091" s="126"/>
      <c r="AC1091" s="126"/>
      <c r="AD1091" s="126"/>
      <c r="AE1091" s="127"/>
      <c r="AF1091" s="126"/>
      <c r="AG1091" s="126"/>
      <c r="AH1091" s="127"/>
      <c r="AI1091" s="126"/>
      <c r="AJ1091" s="127"/>
      <c r="AK1091" s="127"/>
      <c r="AL1091" s="129"/>
      <c r="AM1091" s="129"/>
      <c r="AN1091" s="44"/>
      <c r="AO1091" s="44"/>
    </row>
    <row r="1092" spans="2:41" ht="15.5">
      <c r="B1092" s="125"/>
      <c r="C1092" s="126"/>
      <c r="D1092" s="126"/>
      <c r="E1092" s="127"/>
      <c r="F1092" s="128"/>
      <c r="G1092" s="126"/>
      <c r="H1092" s="127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6"/>
      <c r="V1092" s="126"/>
      <c r="W1092" s="125"/>
      <c r="X1092" s="126"/>
      <c r="Y1092" s="126"/>
      <c r="Z1092" s="126"/>
      <c r="AA1092" s="126"/>
      <c r="AB1092" s="126"/>
      <c r="AC1092" s="126"/>
      <c r="AD1092" s="126"/>
      <c r="AE1092" s="127"/>
      <c r="AF1092" s="126"/>
      <c r="AG1092" s="126"/>
      <c r="AH1092" s="127"/>
      <c r="AI1092" s="126"/>
      <c r="AJ1092" s="127"/>
      <c r="AK1092" s="127"/>
      <c r="AL1092" s="129"/>
      <c r="AM1092" s="129"/>
      <c r="AN1092" s="44"/>
      <c r="AO1092" s="44"/>
    </row>
  </sheetData>
  <mergeCells count="7">
    <mergeCell ref="A92:A107"/>
    <mergeCell ref="B1:D1"/>
    <mergeCell ref="B19:D19"/>
    <mergeCell ref="B37:D37"/>
    <mergeCell ref="B55:D55"/>
    <mergeCell ref="B73:D73"/>
    <mergeCell ref="B91:D91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00"/>
  <sheetViews>
    <sheetView zoomScale="85" zoomScaleNormal="85" workbookViewId="0">
      <pane ySplit="1" topLeftCell="A2" activePane="bottomLeft" state="frozen"/>
      <selection pane="bottomLeft" activeCell="C5" sqref="C5"/>
    </sheetView>
  </sheetViews>
  <sheetFormatPr defaultColWidth="11.25" defaultRowHeight="15" customHeight="1"/>
  <cols>
    <col min="1" max="1" width="7.08203125" style="1" customWidth="1"/>
    <col min="2" max="2" width="13.33203125" style="1" customWidth="1"/>
    <col min="3" max="4" width="11.08203125" style="1" customWidth="1"/>
    <col min="5" max="5" width="11.25" style="1"/>
    <col min="6" max="7" width="10.75" style="1" customWidth="1"/>
    <col min="8" max="8" width="11.58203125" style="1" customWidth="1"/>
    <col min="9" max="9" width="11.6640625" style="1" customWidth="1"/>
    <col min="10" max="10" width="12" style="1" customWidth="1"/>
    <col min="11" max="11" width="6.08203125" style="1" customWidth="1"/>
    <col min="12" max="12" width="11.08203125" style="1" customWidth="1"/>
    <col min="13" max="13" width="10" style="1" customWidth="1"/>
    <col min="14" max="14" width="4" style="1" customWidth="1"/>
    <col min="15" max="15" width="9.75" style="1" customWidth="1"/>
    <col min="16" max="16" width="11.08203125" style="1" customWidth="1"/>
    <col min="17" max="17" width="10.9140625" style="1" customWidth="1"/>
    <col min="18" max="18" width="12.08203125" style="1" customWidth="1"/>
    <col min="19" max="25" width="8.58203125" style="1" customWidth="1"/>
    <col min="26" max="16384" width="11.25" style="1"/>
  </cols>
  <sheetData>
    <row r="1" spans="1:25" ht="51.75" customHeight="1" thickBot="1">
      <c r="A1" s="130"/>
      <c r="B1" s="131" t="s">
        <v>57</v>
      </c>
      <c r="C1" s="132" t="s">
        <v>58</v>
      </c>
      <c r="D1" s="132" t="s">
        <v>59</v>
      </c>
      <c r="E1" s="132" t="s">
        <v>60</v>
      </c>
      <c r="F1" s="132" t="s">
        <v>61</v>
      </c>
      <c r="G1" s="132" t="s">
        <v>62</v>
      </c>
      <c r="H1" s="133" t="s">
        <v>63</v>
      </c>
      <c r="I1" s="132" t="s">
        <v>64</v>
      </c>
      <c r="J1" s="133" t="s">
        <v>65</v>
      </c>
      <c r="K1" s="133"/>
      <c r="L1" s="132" t="s">
        <v>66</v>
      </c>
      <c r="M1" s="132" t="s">
        <v>67</v>
      </c>
      <c r="N1" s="134"/>
      <c r="O1" s="134"/>
      <c r="P1" s="134"/>
      <c r="Q1" s="134"/>
      <c r="R1" s="135"/>
      <c r="S1" s="135"/>
      <c r="T1" s="135"/>
      <c r="U1" s="135"/>
      <c r="V1" s="135"/>
      <c r="W1" s="135"/>
      <c r="X1" s="135"/>
      <c r="Y1" s="135"/>
    </row>
    <row r="2" spans="1:25" ht="16" thickBot="1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8"/>
    </row>
    <row r="3" spans="1:25" ht="15.5">
      <c r="A3" s="139">
        <v>1</v>
      </c>
      <c r="B3" s="140" t="s">
        <v>68</v>
      </c>
      <c r="C3" s="141">
        <v>500</v>
      </c>
      <c r="D3" s="141">
        <f t="shared" ref="D3:D54" si="0">C3-F3</f>
        <v>410</v>
      </c>
      <c r="E3" s="142">
        <f t="shared" ref="E3:E54" si="1">C3*0.08</f>
        <v>40</v>
      </c>
      <c r="F3" s="142">
        <f t="shared" ref="F3:F54" si="2">C3*0.18</f>
        <v>90</v>
      </c>
      <c r="G3" s="142">
        <f t="shared" ref="G3:G54" si="3">D3*0.125</f>
        <v>51.25</v>
      </c>
      <c r="H3" s="142">
        <f t="shared" ref="H3:H54" si="4">D3*0.22</f>
        <v>90.2</v>
      </c>
      <c r="I3" s="143">
        <v>100</v>
      </c>
      <c r="J3" s="144">
        <f t="shared" ref="J3:J54" si="5">I3%/C3*100</f>
        <v>0.2</v>
      </c>
      <c r="K3" s="144"/>
      <c r="L3" s="142">
        <f t="shared" ref="L3:L54" si="6">SUM(E3:I3)</f>
        <v>371.45</v>
      </c>
      <c r="M3" s="145">
        <f t="shared" ref="M3:M54" si="7">C3-L3</f>
        <v>128.55000000000001</v>
      </c>
      <c r="N3" s="146"/>
      <c r="O3" s="147"/>
      <c r="P3" s="135"/>
      <c r="Q3" s="135"/>
    </row>
    <row r="4" spans="1:25" ht="15.5">
      <c r="A4" s="139">
        <v>2</v>
      </c>
      <c r="B4" s="148" t="s">
        <v>69</v>
      </c>
      <c r="C4" s="149">
        <v>600</v>
      </c>
      <c r="D4" s="149">
        <f t="shared" si="0"/>
        <v>492</v>
      </c>
      <c r="E4" s="150">
        <f t="shared" si="1"/>
        <v>48</v>
      </c>
      <c r="F4" s="150">
        <f t="shared" si="2"/>
        <v>108</v>
      </c>
      <c r="G4" s="150">
        <f t="shared" si="3"/>
        <v>61.5</v>
      </c>
      <c r="H4" s="150">
        <f t="shared" si="4"/>
        <v>108.24</v>
      </c>
      <c r="I4" s="151">
        <v>100</v>
      </c>
      <c r="J4" s="152">
        <f t="shared" si="5"/>
        <v>0.16666666666666669</v>
      </c>
      <c r="K4" s="153"/>
      <c r="L4" s="150">
        <f t="shared" si="6"/>
        <v>425.74</v>
      </c>
      <c r="M4" s="154">
        <f t="shared" si="7"/>
        <v>174.26</v>
      </c>
      <c r="N4" s="146"/>
      <c r="O4" s="155"/>
      <c r="P4" s="135"/>
      <c r="Q4" s="135"/>
      <c r="R4" s="135"/>
    </row>
    <row r="5" spans="1:25" ht="15.5">
      <c r="A5" s="139">
        <v>3</v>
      </c>
      <c r="B5" s="156" t="s">
        <v>70</v>
      </c>
      <c r="C5" s="149">
        <v>0</v>
      </c>
      <c r="D5" s="149">
        <f t="shared" si="0"/>
        <v>0</v>
      </c>
      <c r="E5" s="150">
        <f t="shared" si="1"/>
        <v>0</v>
      </c>
      <c r="F5" s="150">
        <f t="shared" si="2"/>
        <v>0</v>
      </c>
      <c r="G5" s="150">
        <f t="shared" si="3"/>
        <v>0</v>
      </c>
      <c r="H5" s="150">
        <f t="shared" si="4"/>
        <v>0</v>
      </c>
      <c r="I5" s="151">
        <v>0</v>
      </c>
      <c r="J5" s="152" t="e">
        <f t="shared" si="5"/>
        <v>#DIV/0!</v>
      </c>
      <c r="K5" s="153"/>
      <c r="L5" s="150">
        <f t="shared" si="6"/>
        <v>0</v>
      </c>
      <c r="M5" s="154">
        <f t="shared" si="7"/>
        <v>0</v>
      </c>
      <c r="N5" s="146"/>
      <c r="O5" s="155"/>
      <c r="P5" s="135"/>
      <c r="Q5" s="135"/>
      <c r="R5" s="135"/>
    </row>
    <row r="6" spans="1:25" ht="15.5">
      <c r="A6" s="139">
        <v>4</v>
      </c>
      <c r="B6" s="148" t="s">
        <v>71</v>
      </c>
      <c r="C6" s="149">
        <v>0</v>
      </c>
      <c r="D6" s="149">
        <f t="shared" si="0"/>
        <v>0</v>
      </c>
      <c r="E6" s="150">
        <f t="shared" si="1"/>
        <v>0</v>
      </c>
      <c r="F6" s="150">
        <f t="shared" si="2"/>
        <v>0</v>
      </c>
      <c r="G6" s="150">
        <f t="shared" si="3"/>
        <v>0</v>
      </c>
      <c r="H6" s="150">
        <f t="shared" si="4"/>
        <v>0</v>
      </c>
      <c r="I6" s="151">
        <v>0</v>
      </c>
      <c r="J6" s="152" t="e">
        <f t="shared" si="5"/>
        <v>#DIV/0!</v>
      </c>
      <c r="K6" s="153"/>
      <c r="L6" s="150">
        <f t="shared" si="6"/>
        <v>0</v>
      </c>
      <c r="M6" s="154">
        <f t="shared" si="7"/>
        <v>0</v>
      </c>
      <c r="N6" s="146"/>
      <c r="O6" s="155"/>
      <c r="P6" s="135"/>
      <c r="Q6" s="135"/>
      <c r="R6" s="135"/>
    </row>
    <row r="7" spans="1:25" ht="15.5">
      <c r="A7" s="139">
        <v>5</v>
      </c>
      <c r="B7" s="148" t="s">
        <v>72</v>
      </c>
      <c r="C7" s="149">
        <v>0</v>
      </c>
      <c r="D7" s="149">
        <f t="shared" si="0"/>
        <v>0</v>
      </c>
      <c r="E7" s="150">
        <f t="shared" si="1"/>
        <v>0</v>
      </c>
      <c r="F7" s="150">
        <f t="shared" si="2"/>
        <v>0</v>
      </c>
      <c r="G7" s="150">
        <f t="shared" si="3"/>
        <v>0</v>
      </c>
      <c r="H7" s="150">
        <f t="shared" si="4"/>
        <v>0</v>
      </c>
      <c r="I7" s="151">
        <v>0</v>
      </c>
      <c r="J7" s="152" t="e">
        <f t="shared" si="5"/>
        <v>#DIV/0!</v>
      </c>
      <c r="K7" s="153"/>
      <c r="L7" s="150">
        <f t="shared" si="6"/>
        <v>0</v>
      </c>
      <c r="M7" s="154">
        <f t="shared" si="7"/>
        <v>0</v>
      </c>
      <c r="N7" s="146"/>
      <c r="O7" s="155"/>
      <c r="P7" s="135"/>
      <c r="Q7" s="135"/>
      <c r="R7" s="135"/>
    </row>
    <row r="8" spans="1:25" ht="15.5">
      <c r="A8" s="139">
        <v>6</v>
      </c>
      <c r="B8" s="148" t="s">
        <v>73</v>
      </c>
      <c r="C8" s="149">
        <v>0</v>
      </c>
      <c r="D8" s="149">
        <f t="shared" si="0"/>
        <v>0</v>
      </c>
      <c r="E8" s="150">
        <f t="shared" si="1"/>
        <v>0</v>
      </c>
      <c r="F8" s="150">
        <f t="shared" si="2"/>
        <v>0</v>
      </c>
      <c r="G8" s="150">
        <f t="shared" si="3"/>
        <v>0</v>
      </c>
      <c r="H8" s="150">
        <f t="shared" si="4"/>
        <v>0</v>
      </c>
      <c r="I8" s="151">
        <v>0</v>
      </c>
      <c r="J8" s="152" t="e">
        <f t="shared" si="5"/>
        <v>#DIV/0!</v>
      </c>
      <c r="K8" s="153"/>
      <c r="L8" s="150">
        <f t="shared" si="6"/>
        <v>0</v>
      </c>
      <c r="M8" s="154">
        <f t="shared" si="7"/>
        <v>0</v>
      </c>
      <c r="N8" s="146"/>
      <c r="O8" s="155"/>
      <c r="P8" s="135"/>
      <c r="Q8" s="135"/>
      <c r="R8" s="135"/>
    </row>
    <row r="9" spans="1:25" ht="15.5">
      <c r="A9" s="139">
        <v>7</v>
      </c>
      <c r="B9" s="148" t="s">
        <v>74</v>
      </c>
      <c r="C9" s="149">
        <v>0</v>
      </c>
      <c r="D9" s="149">
        <f t="shared" si="0"/>
        <v>0</v>
      </c>
      <c r="E9" s="150">
        <f t="shared" si="1"/>
        <v>0</v>
      </c>
      <c r="F9" s="150">
        <f t="shared" si="2"/>
        <v>0</v>
      </c>
      <c r="G9" s="150">
        <f t="shared" si="3"/>
        <v>0</v>
      </c>
      <c r="H9" s="150">
        <f t="shared" si="4"/>
        <v>0</v>
      </c>
      <c r="I9" s="151">
        <v>0</v>
      </c>
      <c r="J9" s="152" t="e">
        <f t="shared" si="5"/>
        <v>#DIV/0!</v>
      </c>
      <c r="K9" s="153"/>
      <c r="L9" s="150">
        <f t="shared" si="6"/>
        <v>0</v>
      </c>
      <c r="M9" s="154">
        <f t="shared" si="7"/>
        <v>0</v>
      </c>
      <c r="N9" s="146"/>
      <c r="O9" s="155"/>
      <c r="P9" s="135"/>
      <c r="Q9" s="135"/>
      <c r="R9" s="135"/>
    </row>
    <row r="10" spans="1:25" ht="15.5">
      <c r="A10" s="139">
        <v>8</v>
      </c>
      <c r="B10" s="148" t="s">
        <v>75</v>
      </c>
      <c r="C10" s="149">
        <v>0</v>
      </c>
      <c r="D10" s="149">
        <f t="shared" si="0"/>
        <v>0</v>
      </c>
      <c r="E10" s="150">
        <f t="shared" si="1"/>
        <v>0</v>
      </c>
      <c r="F10" s="150">
        <f t="shared" si="2"/>
        <v>0</v>
      </c>
      <c r="G10" s="150">
        <f t="shared" si="3"/>
        <v>0</v>
      </c>
      <c r="H10" s="150">
        <f t="shared" si="4"/>
        <v>0</v>
      </c>
      <c r="I10" s="151">
        <v>0</v>
      </c>
      <c r="J10" s="152" t="e">
        <f t="shared" si="5"/>
        <v>#DIV/0!</v>
      </c>
      <c r="K10" s="153"/>
      <c r="L10" s="150">
        <f t="shared" si="6"/>
        <v>0</v>
      </c>
      <c r="M10" s="154">
        <f t="shared" si="7"/>
        <v>0</v>
      </c>
      <c r="N10" s="146"/>
      <c r="O10" s="155"/>
      <c r="P10" s="135"/>
      <c r="Q10" s="135"/>
      <c r="R10" s="135"/>
    </row>
    <row r="11" spans="1:25" ht="15.5">
      <c r="A11" s="139">
        <v>9</v>
      </c>
      <c r="B11" s="148" t="s">
        <v>76</v>
      </c>
      <c r="C11" s="149">
        <v>0</v>
      </c>
      <c r="D11" s="149">
        <f t="shared" si="0"/>
        <v>0</v>
      </c>
      <c r="E11" s="150">
        <f t="shared" si="1"/>
        <v>0</v>
      </c>
      <c r="F11" s="150">
        <f t="shared" si="2"/>
        <v>0</v>
      </c>
      <c r="G11" s="150">
        <f t="shared" si="3"/>
        <v>0</v>
      </c>
      <c r="H11" s="150">
        <f t="shared" si="4"/>
        <v>0</v>
      </c>
      <c r="I11" s="151">
        <v>0</v>
      </c>
      <c r="J11" s="152" t="e">
        <f t="shared" si="5"/>
        <v>#DIV/0!</v>
      </c>
      <c r="K11" s="153"/>
      <c r="L11" s="150">
        <f t="shared" si="6"/>
        <v>0</v>
      </c>
      <c r="M11" s="154">
        <f t="shared" si="7"/>
        <v>0</v>
      </c>
      <c r="N11" s="146"/>
      <c r="O11" s="155"/>
      <c r="P11" s="135"/>
      <c r="Q11" s="135"/>
      <c r="R11" s="135"/>
    </row>
    <row r="12" spans="1:25" ht="15.5">
      <c r="A12" s="139">
        <v>10</v>
      </c>
      <c r="B12" s="148" t="s">
        <v>77</v>
      </c>
      <c r="C12" s="149">
        <v>0</v>
      </c>
      <c r="D12" s="149">
        <f t="shared" si="0"/>
        <v>0</v>
      </c>
      <c r="E12" s="150">
        <f t="shared" si="1"/>
        <v>0</v>
      </c>
      <c r="F12" s="150">
        <f t="shared" si="2"/>
        <v>0</v>
      </c>
      <c r="G12" s="150">
        <f t="shared" si="3"/>
        <v>0</v>
      </c>
      <c r="H12" s="150">
        <f t="shared" si="4"/>
        <v>0</v>
      </c>
      <c r="I12" s="151">
        <v>0</v>
      </c>
      <c r="J12" s="152" t="e">
        <f t="shared" si="5"/>
        <v>#DIV/0!</v>
      </c>
      <c r="K12" s="153"/>
      <c r="L12" s="150">
        <f t="shared" si="6"/>
        <v>0</v>
      </c>
      <c r="M12" s="154">
        <f t="shared" si="7"/>
        <v>0</v>
      </c>
      <c r="N12" s="146"/>
      <c r="O12" s="155"/>
      <c r="P12" s="135"/>
      <c r="Q12" s="135"/>
      <c r="R12" s="135"/>
    </row>
    <row r="13" spans="1:25" ht="15.5">
      <c r="A13" s="139">
        <v>11</v>
      </c>
      <c r="B13" s="148" t="s">
        <v>78</v>
      </c>
      <c r="C13" s="149">
        <v>0</v>
      </c>
      <c r="D13" s="149">
        <f t="shared" si="0"/>
        <v>0</v>
      </c>
      <c r="E13" s="150">
        <f t="shared" si="1"/>
        <v>0</v>
      </c>
      <c r="F13" s="150">
        <f t="shared" si="2"/>
        <v>0</v>
      </c>
      <c r="G13" s="150">
        <f t="shared" si="3"/>
        <v>0</v>
      </c>
      <c r="H13" s="150">
        <f t="shared" si="4"/>
        <v>0</v>
      </c>
      <c r="I13" s="151">
        <v>0</v>
      </c>
      <c r="J13" s="152" t="e">
        <f t="shared" si="5"/>
        <v>#DIV/0!</v>
      </c>
      <c r="K13" s="153"/>
      <c r="L13" s="150">
        <f t="shared" si="6"/>
        <v>0</v>
      </c>
      <c r="M13" s="154">
        <f t="shared" si="7"/>
        <v>0</v>
      </c>
      <c r="O13" s="155"/>
    </row>
    <row r="14" spans="1:25" ht="15.5">
      <c r="A14" s="139">
        <v>12</v>
      </c>
      <c r="B14" s="148" t="s">
        <v>79</v>
      </c>
      <c r="C14" s="149">
        <v>0</v>
      </c>
      <c r="D14" s="149">
        <f t="shared" si="0"/>
        <v>0</v>
      </c>
      <c r="E14" s="150">
        <f t="shared" si="1"/>
        <v>0</v>
      </c>
      <c r="F14" s="150">
        <f t="shared" si="2"/>
        <v>0</v>
      </c>
      <c r="G14" s="150">
        <f t="shared" si="3"/>
        <v>0</v>
      </c>
      <c r="H14" s="150">
        <f t="shared" si="4"/>
        <v>0</v>
      </c>
      <c r="I14" s="151">
        <v>0</v>
      </c>
      <c r="J14" s="152" t="e">
        <f t="shared" si="5"/>
        <v>#DIV/0!</v>
      </c>
      <c r="K14" s="153"/>
      <c r="L14" s="150">
        <f t="shared" si="6"/>
        <v>0</v>
      </c>
      <c r="M14" s="154">
        <f t="shared" si="7"/>
        <v>0</v>
      </c>
      <c r="O14" s="155"/>
      <c r="P14" s="135"/>
      <c r="Q14" s="157"/>
      <c r="R14" s="135"/>
    </row>
    <row r="15" spans="1:25" ht="15.5">
      <c r="A15" s="139">
        <v>13</v>
      </c>
      <c r="B15" s="148" t="s">
        <v>80</v>
      </c>
      <c r="C15" s="149">
        <v>0</v>
      </c>
      <c r="D15" s="149">
        <f t="shared" si="0"/>
        <v>0</v>
      </c>
      <c r="E15" s="150">
        <f t="shared" si="1"/>
        <v>0</v>
      </c>
      <c r="F15" s="150">
        <f t="shared" si="2"/>
        <v>0</v>
      </c>
      <c r="G15" s="150">
        <f t="shared" si="3"/>
        <v>0</v>
      </c>
      <c r="H15" s="150">
        <f t="shared" si="4"/>
        <v>0</v>
      </c>
      <c r="I15" s="151">
        <v>0</v>
      </c>
      <c r="J15" s="152" t="e">
        <f t="shared" si="5"/>
        <v>#DIV/0!</v>
      </c>
      <c r="K15" s="153"/>
      <c r="L15" s="150">
        <f t="shared" si="6"/>
        <v>0</v>
      </c>
      <c r="M15" s="154">
        <f t="shared" si="7"/>
        <v>0</v>
      </c>
      <c r="O15" s="155"/>
      <c r="Q15" s="157"/>
    </row>
    <row r="16" spans="1:25" ht="15.5">
      <c r="A16" s="139">
        <v>14</v>
      </c>
      <c r="B16" s="148" t="s">
        <v>81</v>
      </c>
      <c r="C16" s="149">
        <v>0</v>
      </c>
      <c r="D16" s="149">
        <f t="shared" si="0"/>
        <v>0</v>
      </c>
      <c r="E16" s="150">
        <f t="shared" si="1"/>
        <v>0</v>
      </c>
      <c r="F16" s="150">
        <f t="shared" si="2"/>
        <v>0</v>
      </c>
      <c r="G16" s="150">
        <f t="shared" si="3"/>
        <v>0</v>
      </c>
      <c r="H16" s="150">
        <f t="shared" si="4"/>
        <v>0</v>
      </c>
      <c r="I16" s="151">
        <v>0</v>
      </c>
      <c r="J16" s="152" t="e">
        <f t="shared" si="5"/>
        <v>#DIV/0!</v>
      </c>
      <c r="K16" s="153"/>
      <c r="L16" s="150">
        <f t="shared" si="6"/>
        <v>0</v>
      </c>
      <c r="M16" s="154">
        <f t="shared" si="7"/>
        <v>0</v>
      </c>
      <c r="N16" s="44"/>
      <c r="O16" s="155"/>
      <c r="Q16" s="157"/>
      <c r="R16" s="135"/>
      <c r="S16" s="44"/>
    </row>
    <row r="17" spans="1:25" ht="15.5">
      <c r="A17" s="139">
        <v>15</v>
      </c>
      <c r="B17" s="148" t="s">
        <v>82</v>
      </c>
      <c r="C17" s="149">
        <v>0</v>
      </c>
      <c r="D17" s="149">
        <f t="shared" si="0"/>
        <v>0</v>
      </c>
      <c r="E17" s="150">
        <f t="shared" si="1"/>
        <v>0</v>
      </c>
      <c r="F17" s="150">
        <f t="shared" si="2"/>
        <v>0</v>
      </c>
      <c r="G17" s="150">
        <f t="shared" si="3"/>
        <v>0</v>
      </c>
      <c r="H17" s="150">
        <f t="shared" si="4"/>
        <v>0</v>
      </c>
      <c r="I17" s="151">
        <v>0</v>
      </c>
      <c r="J17" s="152" t="e">
        <f t="shared" si="5"/>
        <v>#DIV/0!</v>
      </c>
      <c r="K17" s="153"/>
      <c r="L17" s="150">
        <f t="shared" si="6"/>
        <v>0</v>
      </c>
      <c r="M17" s="154">
        <f t="shared" si="7"/>
        <v>0</v>
      </c>
      <c r="N17" s="44"/>
      <c r="S17" s="44"/>
    </row>
    <row r="18" spans="1:25" ht="15.5">
      <c r="A18" s="139">
        <v>16</v>
      </c>
      <c r="B18" s="148" t="s">
        <v>83</v>
      </c>
      <c r="C18" s="149">
        <v>0</v>
      </c>
      <c r="D18" s="149">
        <f t="shared" si="0"/>
        <v>0</v>
      </c>
      <c r="E18" s="150">
        <f t="shared" si="1"/>
        <v>0</v>
      </c>
      <c r="F18" s="150">
        <f t="shared" si="2"/>
        <v>0</v>
      </c>
      <c r="G18" s="150">
        <f t="shared" si="3"/>
        <v>0</v>
      </c>
      <c r="H18" s="150">
        <f t="shared" si="4"/>
        <v>0</v>
      </c>
      <c r="I18" s="151">
        <v>0</v>
      </c>
      <c r="J18" s="152" t="e">
        <f t="shared" si="5"/>
        <v>#DIV/0!</v>
      </c>
      <c r="K18" s="153"/>
      <c r="L18" s="150">
        <f t="shared" si="6"/>
        <v>0</v>
      </c>
      <c r="M18" s="154">
        <f t="shared" si="7"/>
        <v>0</v>
      </c>
      <c r="N18" s="44"/>
      <c r="S18" s="44"/>
    </row>
    <row r="19" spans="1:25" ht="15.5">
      <c r="A19" s="139">
        <v>17</v>
      </c>
      <c r="B19" s="148" t="s">
        <v>84</v>
      </c>
      <c r="C19" s="149">
        <v>0</v>
      </c>
      <c r="D19" s="149">
        <f t="shared" si="0"/>
        <v>0</v>
      </c>
      <c r="E19" s="150">
        <f t="shared" si="1"/>
        <v>0</v>
      </c>
      <c r="F19" s="150">
        <f t="shared" si="2"/>
        <v>0</v>
      </c>
      <c r="G19" s="150">
        <f t="shared" si="3"/>
        <v>0</v>
      </c>
      <c r="H19" s="150">
        <f t="shared" si="4"/>
        <v>0</v>
      </c>
      <c r="I19" s="151">
        <v>0</v>
      </c>
      <c r="J19" s="152" t="e">
        <f t="shared" si="5"/>
        <v>#DIV/0!</v>
      </c>
      <c r="K19" s="153"/>
      <c r="L19" s="150">
        <f t="shared" si="6"/>
        <v>0</v>
      </c>
      <c r="M19" s="154">
        <f t="shared" si="7"/>
        <v>0</v>
      </c>
      <c r="N19" s="44"/>
      <c r="S19" s="44"/>
    </row>
    <row r="20" spans="1:25" ht="15.5">
      <c r="A20" s="139">
        <v>18</v>
      </c>
      <c r="B20" s="148" t="s">
        <v>85</v>
      </c>
      <c r="C20" s="149">
        <v>0</v>
      </c>
      <c r="D20" s="149">
        <f t="shared" si="0"/>
        <v>0</v>
      </c>
      <c r="E20" s="150">
        <f t="shared" si="1"/>
        <v>0</v>
      </c>
      <c r="F20" s="150">
        <f t="shared" si="2"/>
        <v>0</v>
      </c>
      <c r="G20" s="150">
        <f t="shared" si="3"/>
        <v>0</v>
      </c>
      <c r="H20" s="150">
        <f t="shared" si="4"/>
        <v>0</v>
      </c>
      <c r="I20" s="151">
        <v>0</v>
      </c>
      <c r="J20" s="152" t="e">
        <f t="shared" si="5"/>
        <v>#DIV/0!</v>
      </c>
      <c r="K20" s="153"/>
      <c r="L20" s="150">
        <f t="shared" si="6"/>
        <v>0</v>
      </c>
      <c r="M20" s="154">
        <f t="shared" si="7"/>
        <v>0</v>
      </c>
      <c r="N20" s="44"/>
      <c r="S20" s="44"/>
    </row>
    <row r="21" spans="1:25" ht="15.5">
      <c r="A21" s="139">
        <v>19</v>
      </c>
      <c r="B21" s="148" t="s">
        <v>86</v>
      </c>
      <c r="C21" s="149">
        <v>0</v>
      </c>
      <c r="D21" s="149">
        <f t="shared" si="0"/>
        <v>0</v>
      </c>
      <c r="E21" s="150">
        <f t="shared" si="1"/>
        <v>0</v>
      </c>
      <c r="F21" s="150">
        <f t="shared" si="2"/>
        <v>0</v>
      </c>
      <c r="G21" s="150">
        <f t="shared" si="3"/>
        <v>0</v>
      </c>
      <c r="H21" s="150">
        <f t="shared" si="4"/>
        <v>0</v>
      </c>
      <c r="I21" s="151">
        <v>0</v>
      </c>
      <c r="J21" s="152" t="e">
        <f t="shared" si="5"/>
        <v>#DIV/0!</v>
      </c>
      <c r="K21" s="153"/>
      <c r="L21" s="150">
        <f t="shared" si="6"/>
        <v>0</v>
      </c>
      <c r="M21" s="154">
        <f t="shared" si="7"/>
        <v>0</v>
      </c>
      <c r="N21" s="44"/>
      <c r="S21" s="44"/>
    </row>
    <row r="22" spans="1:25" ht="15.5">
      <c r="A22" s="139">
        <v>20</v>
      </c>
      <c r="B22" s="158" t="s">
        <v>87</v>
      </c>
      <c r="C22" s="149">
        <v>0</v>
      </c>
      <c r="D22" s="149">
        <f t="shared" si="0"/>
        <v>0</v>
      </c>
      <c r="E22" s="150">
        <f t="shared" si="1"/>
        <v>0</v>
      </c>
      <c r="F22" s="150">
        <f t="shared" si="2"/>
        <v>0</v>
      </c>
      <c r="G22" s="150">
        <f t="shared" si="3"/>
        <v>0</v>
      </c>
      <c r="H22" s="150">
        <f t="shared" si="4"/>
        <v>0</v>
      </c>
      <c r="I22" s="151">
        <v>0</v>
      </c>
      <c r="J22" s="152" t="e">
        <f t="shared" si="5"/>
        <v>#DIV/0!</v>
      </c>
      <c r="K22" s="153"/>
      <c r="L22" s="150">
        <f t="shared" si="6"/>
        <v>0</v>
      </c>
      <c r="M22" s="154">
        <f t="shared" si="7"/>
        <v>0</v>
      </c>
      <c r="N22" s="44"/>
      <c r="S22" s="44"/>
    </row>
    <row r="23" spans="1:25" ht="15.5">
      <c r="A23" s="139">
        <v>21</v>
      </c>
      <c r="B23" s="158" t="s">
        <v>88</v>
      </c>
      <c r="C23" s="149">
        <v>0</v>
      </c>
      <c r="D23" s="149">
        <f t="shared" si="0"/>
        <v>0</v>
      </c>
      <c r="E23" s="150">
        <f t="shared" si="1"/>
        <v>0</v>
      </c>
      <c r="F23" s="150">
        <f t="shared" si="2"/>
        <v>0</v>
      </c>
      <c r="G23" s="150">
        <f t="shared" si="3"/>
        <v>0</v>
      </c>
      <c r="H23" s="150">
        <f t="shared" si="4"/>
        <v>0</v>
      </c>
      <c r="I23" s="151">
        <v>0</v>
      </c>
      <c r="J23" s="152" t="e">
        <f t="shared" si="5"/>
        <v>#DIV/0!</v>
      </c>
      <c r="K23" s="153"/>
      <c r="L23" s="150">
        <f t="shared" si="6"/>
        <v>0</v>
      </c>
      <c r="M23" s="154">
        <f t="shared" si="7"/>
        <v>0</v>
      </c>
      <c r="N23" s="44"/>
      <c r="S23" s="44"/>
    </row>
    <row r="24" spans="1:25" ht="15.5">
      <c r="A24" s="139">
        <v>22</v>
      </c>
      <c r="B24" s="158" t="s">
        <v>89</v>
      </c>
      <c r="C24" s="149">
        <v>0</v>
      </c>
      <c r="D24" s="149">
        <f t="shared" si="0"/>
        <v>0</v>
      </c>
      <c r="E24" s="150">
        <f t="shared" si="1"/>
        <v>0</v>
      </c>
      <c r="F24" s="150">
        <f t="shared" si="2"/>
        <v>0</v>
      </c>
      <c r="G24" s="150">
        <f t="shared" si="3"/>
        <v>0</v>
      </c>
      <c r="H24" s="150">
        <f t="shared" si="4"/>
        <v>0</v>
      </c>
      <c r="I24" s="151">
        <v>0</v>
      </c>
      <c r="J24" s="152" t="e">
        <f t="shared" si="5"/>
        <v>#DIV/0!</v>
      </c>
      <c r="K24" s="153"/>
      <c r="L24" s="150">
        <f t="shared" si="6"/>
        <v>0</v>
      </c>
      <c r="M24" s="154">
        <f t="shared" si="7"/>
        <v>0</v>
      </c>
      <c r="N24" s="44"/>
      <c r="S24" s="44"/>
    </row>
    <row r="25" spans="1:25" ht="15.5">
      <c r="A25" s="139">
        <v>23</v>
      </c>
      <c r="B25" s="158" t="s">
        <v>90</v>
      </c>
      <c r="C25" s="149">
        <v>0</v>
      </c>
      <c r="D25" s="149">
        <f t="shared" si="0"/>
        <v>0</v>
      </c>
      <c r="E25" s="150">
        <f t="shared" si="1"/>
        <v>0</v>
      </c>
      <c r="F25" s="150">
        <f t="shared" si="2"/>
        <v>0</v>
      </c>
      <c r="G25" s="150">
        <f t="shared" si="3"/>
        <v>0</v>
      </c>
      <c r="H25" s="150">
        <f t="shared" si="4"/>
        <v>0</v>
      </c>
      <c r="I25" s="151">
        <v>0</v>
      </c>
      <c r="J25" s="152" t="e">
        <f t="shared" si="5"/>
        <v>#DIV/0!</v>
      </c>
      <c r="K25" s="153"/>
      <c r="L25" s="150">
        <f t="shared" si="6"/>
        <v>0</v>
      </c>
      <c r="M25" s="154">
        <f t="shared" si="7"/>
        <v>0</v>
      </c>
      <c r="N25" s="44"/>
      <c r="S25" s="44"/>
    </row>
    <row r="26" spans="1:25" ht="15.5">
      <c r="A26" s="139">
        <v>24</v>
      </c>
      <c r="B26" s="158" t="s">
        <v>91</v>
      </c>
      <c r="C26" s="149">
        <v>0</v>
      </c>
      <c r="D26" s="159">
        <f t="shared" si="0"/>
        <v>0</v>
      </c>
      <c r="E26" s="160">
        <f t="shared" si="1"/>
        <v>0</v>
      </c>
      <c r="F26" s="160">
        <f t="shared" si="2"/>
        <v>0</v>
      </c>
      <c r="G26" s="160">
        <f t="shared" si="3"/>
        <v>0</v>
      </c>
      <c r="H26" s="160">
        <f t="shared" si="4"/>
        <v>0</v>
      </c>
      <c r="I26" s="151">
        <v>0</v>
      </c>
      <c r="J26" s="161" t="e">
        <f t="shared" si="5"/>
        <v>#DIV/0!</v>
      </c>
      <c r="K26" s="162"/>
      <c r="L26" s="160">
        <f t="shared" si="6"/>
        <v>0</v>
      </c>
      <c r="M26" s="163">
        <f t="shared" si="7"/>
        <v>0</v>
      </c>
      <c r="N26" s="164"/>
      <c r="O26" s="165"/>
      <c r="P26" s="165"/>
      <c r="Q26" s="165"/>
      <c r="R26" s="165"/>
      <c r="S26" s="164"/>
      <c r="T26" s="165"/>
      <c r="U26" s="165"/>
      <c r="V26" s="165"/>
      <c r="W26" s="165"/>
      <c r="X26" s="165"/>
      <c r="Y26" s="165"/>
    </row>
    <row r="27" spans="1:25" ht="15.5">
      <c r="A27" s="139">
        <v>25</v>
      </c>
      <c r="B27" s="158" t="s">
        <v>92</v>
      </c>
      <c r="C27" s="149">
        <v>0</v>
      </c>
      <c r="D27" s="159">
        <f t="shared" si="0"/>
        <v>0</v>
      </c>
      <c r="E27" s="160">
        <f t="shared" si="1"/>
        <v>0</v>
      </c>
      <c r="F27" s="160">
        <f t="shared" si="2"/>
        <v>0</v>
      </c>
      <c r="G27" s="160">
        <f t="shared" si="3"/>
        <v>0</v>
      </c>
      <c r="H27" s="160">
        <f t="shared" si="4"/>
        <v>0</v>
      </c>
      <c r="I27" s="151">
        <v>0</v>
      </c>
      <c r="J27" s="161" t="e">
        <f t="shared" si="5"/>
        <v>#DIV/0!</v>
      </c>
      <c r="K27" s="162"/>
      <c r="L27" s="160">
        <f t="shared" si="6"/>
        <v>0</v>
      </c>
      <c r="M27" s="163">
        <f t="shared" si="7"/>
        <v>0</v>
      </c>
      <c r="N27" s="164"/>
      <c r="O27" s="165"/>
      <c r="P27" s="165"/>
      <c r="Q27" s="165"/>
      <c r="R27" s="165"/>
      <c r="S27" s="164"/>
      <c r="T27" s="165"/>
      <c r="U27" s="165"/>
      <c r="V27" s="165"/>
      <c r="W27" s="165"/>
      <c r="X27" s="165"/>
      <c r="Y27" s="165"/>
    </row>
    <row r="28" spans="1:25" ht="15.5">
      <c r="A28" s="139">
        <v>26</v>
      </c>
      <c r="B28" s="158" t="s">
        <v>93</v>
      </c>
      <c r="C28" s="149">
        <v>0</v>
      </c>
      <c r="D28" s="159">
        <f t="shared" si="0"/>
        <v>0</v>
      </c>
      <c r="E28" s="160">
        <f t="shared" si="1"/>
        <v>0</v>
      </c>
      <c r="F28" s="160">
        <f t="shared" si="2"/>
        <v>0</v>
      </c>
      <c r="G28" s="160">
        <f t="shared" si="3"/>
        <v>0</v>
      </c>
      <c r="H28" s="160">
        <f t="shared" si="4"/>
        <v>0</v>
      </c>
      <c r="I28" s="151">
        <v>0</v>
      </c>
      <c r="J28" s="161" t="e">
        <f t="shared" si="5"/>
        <v>#DIV/0!</v>
      </c>
      <c r="K28" s="162"/>
      <c r="L28" s="160">
        <f t="shared" si="6"/>
        <v>0</v>
      </c>
      <c r="M28" s="163">
        <f t="shared" si="7"/>
        <v>0</v>
      </c>
      <c r="N28" s="164"/>
      <c r="O28" s="165"/>
      <c r="P28" s="165"/>
      <c r="Q28" s="165"/>
      <c r="R28" s="165"/>
      <c r="S28" s="164"/>
      <c r="T28" s="165"/>
      <c r="U28" s="165"/>
      <c r="V28" s="165"/>
      <c r="W28" s="165"/>
      <c r="X28" s="165"/>
      <c r="Y28" s="165"/>
    </row>
    <row r="29" spans="1:25" ht="15.5">
      <c r="A29" s="139">
        <v>27</v>
      </c>
      <c r="B29" s="158" t="s">
        <v>94</v>
      </c>
      <c r="C29" s="149">
        <v>0</v>
      </c>
      <c r="D29" s="159">
        <f t="shared" si="0"/>
        <v>0</v>
      </c>
      <c r="E29" s="160">
        <f t="shared" si="1"/>
        <v>0</v>
      </c>
      <c r="F29" s="160">
        <f t="shared" si="2"/>
        <v>0</v>
      </c>
      <c r="G29" s="160">
        <f t="shared" si="3"/>
        <v>0</v>
      </c>
      <c r="H29" s="160">
        <f t="shared" si="4"/>
        <v>0</v>
      </c>
      <c r="I29" s="151">
        <v>0</v>
      </c>
      <c r="J29" s="161" t="e">
        <f t="shared" si="5"/>
        <v>#DIV/0!</v>
      </c>
      <c r="K29" s="162"/>
      <c r="L29" s="160">
        <f t="shared" si="6"/>
        <v>0</v>
      </c>
      <c r="M29" s="163">
        <f t="shared" si="7"/>
        <v>0</v>
      </c>
      <c r="N29" s="164"/>
      <c r="O29" s="165"/>
      <c r="P29" s="165"/>
      <c r="Q29" s="165"/>
      <c r="R29" s="165"/>
      <c r="S29" s="164"/>
      <c r="T29" s="165"/>
      <c r="U29" s="165"/>
      <c r="V29" s="165"/>
      <c r="W29" s="165"/>
      <c r="X29" s="165"/>
      <c r="Y29" s="165"/>
    </row>
    <row r="30" spans="1:25" ht="15.5">
      <c r="A30" s="139">
        <v>28</v>
      </c>
      <c r="B30" s="158" t="s">
        <v>95</v>
      </c>
      <c r="C30" s="149">
        <v>0</v>
      </c>
      <c r="D30" s="159">
        <f t="shared" si="0"/>
        <v>0</v>
      </c>
      <c r="E30" s="160">
        <f t="shared" si="1"/>
        <v>0</v>
      </c>
      <c r="F30" s="160">
        <f t="shared" si="2"/>
        <v>0</v>
      </c>
      <c r="G30" s="160">
        <f t="shared" si="3"/>
        <v>0</v>
      </c>
      <c r="H30" s="160">
        <f t="shared" si="4"/>
        <v>0</v>
      </c>
      <c r="I30" s="151">
        <v>0</v>
      </c>
      <c r="J30" s="161" t="e">
        <f t="shared" si="5"/>
        <v>#DIV/0!</v>
      </c>
      <c r="K30" s="162"/>
      <c r="L30" s="160">
        <f t="shared" si="6"/>
        <v>0</v>
      </c>
      <c r="M30" s="163">
        <f t="shared" si="7"/>
        <v>0</v>
      </c>
      <c r="N30" s="164"/>
      <c r="O30" s="165"/>
      <c r="P30" s="165"/>
      <c r="Q30" s="165"/>
      <c r="R30" s="165"/>
      <c r="S30" s="164"/>
      <c r="T30" s="165"/>
      <c r="U30" s="165"/>
      <c r="V30" s="165"/>
      <c r="W30" s="165"/>
      <c r="X30" s="165"/>
      <c r="Y30" s="165"/>
    </row>
    <row r="31" spans="1:25" ht="15.5">
      <c r="A31" s="139">
        <v>29</v>
      </c>
      <c r="B31" s="158" t="s">
        <v>96</v>
      </c>
      <c r="C31" s="149">
        <v>0</v>
      </c>
      <c r="D31" s="159">
        <f t="shared" si="0"/>
        <v>0</v>
      </c>
      <c r="E31" s="160">
        <f t="shared" si="1"/>
        <v>0</v>
      </c>
      <c r="F31" s="160">
        <f t="shared" si="2"/>
        <v>0</v>
      </c>
      <c r="G31" s="160">
        <f t="shared" si="3"/>
        <v>0</v>
      </c>
      <c r="H31" s="160">
        <f t="shared" si="4"/>
        <v>0</v>
      </c>
      <c r="I31" s="151">
        <v>0</v>
      </c>
      <c r="J31" s="161" t="e">
        <f t="shared" si="5"/>
        <v>#DIV/0!</v>
      </c>
      <c r="K31" s="162"/>
      <c r="L31" s="160">
        <f t="shared" si="6"/>
        <v>0</v>
      </c>
      <c r="M31" s="163">
        <f t="shared" si="7"/>
        <v>0</v>
      </c>
      <c r="N31" s="164"/>
      <c r="O31" s="165"/>
      <c r="P31" s="165"/>
      <c r="Q31" s="165"/>
      <c r="R31" s="165"/>
      <c r="S31" s="164"/>
      <c r="T31" s="165"/>
      <c r="U31" s="165"/>
      <c r="V31" s="165"/>
      <c r="W31" s="165"/>
      <c r="X31" s="165"/>
      <c r="Y31" s="165"/>
    </row>
    <row r="32" spans="1:25" ht="15.5">
      <c r="A32" s="139">
        <v>30</v>
      </c>
      <c r="B32" s="158" t="s">
        <v>97</v>
      </c>
      <c r="C32" s="149">
        <v>0</v>
      </c>
      <c r="D32" s="159">
        <f t="shared" si="0"/>
        <v>0</v>
      </c>
      <c r="E32" s="160">
        <f t="shared" si="1"/>
        <v>0</v>
      </c>
      <c r="F32" s="160">
        <f t="shared" si="2"/>
        <v>0</v>
      </c>
      <c r="G32" s="160">
        <f t="shared" si="3"/>
        <v>0</v>
      </c>
      <c r="H32" s="160">
        <f t="shared" si="4"/>
        <v>0</v>
      </c>
      <c r="I32" s="151">
        <v>0</v>
      </c>
      <c r="J32" s="161" t="e">
        <f t="shared" si="5"/>
        <v>#DIV/0!</v>
      </c>
      <c r="K32" s="162"/>
      <c r="L32" s="160">
        <f t="shared" si="6"/>
        <v>0</v>
      </c>
      <c r="M32" s="163">
        <f t="shared" si="7"/>
        <v>0</v>
      </c>
      <c r="N32" s="164"/>
      <c r="O32" s="165"/>
      <c r="P32" s="165"/>
      <c r="Q32" s="165"/>
      <c r="R32" s="165"/>
      <c r="S32" s="164"/>
      <c r="T32" s="165"/>
      <c r="U32" s="165"/>
      <c r="V32" s="165"/>
      <c r="W32" s="165"/>
      <c r="X32" s="165"/>
      <c r="Y32" s="165"/>
    </row>
    <row r="33" spans="1:15" ht="15.5">
      <c r="A33" s="139">
        <v>31</v>
      </c>
      <c r="B33" s="158" t="s">
        <v>98</v>
      </c>
      <c r="C33" s="149">
        <v>0</v>
      </c>
      <c r="D33" s="159">
        <f t="shared" si="0"/>
        <v>0</v>
      </c>
      <c r="E33" s="160">
        <f t="shared" si="1"/>
        <v>0</v>
      </c>
      <c r="F33" s="160">
        <f t="shared" si="2"/>
        <v>0</v>
      </c>
      <c r="G33" s="160">
        <f t="shared" si="3"/>
        <v>0</v>
      </c>
      <c r="H33" s="160">
        <f t="shared" si="4"/>
        <v>0</v>
      </c>
      <c r="I33" s="151">
        <v>0</v>
      </c>
      <c r="J33" s="161" t="e">
        <f t="shared" si="5"/>
        <v>#DIV/0!</v>
      </c>
      <c r="K33" s="162"/>
      <c r="L33" s="160">
        <f t="shared" si="6"/>
        <v>0</v>
      </c>
      <c r="M33" s="163">
        <f t="shared" si="7"/>
        <v>0</v>
      </c>
    </row>
    <row r="34" spans="1:15" ht="15.5">
      <c r="A34" s="139">
        <v>32</v>
      </c>
      <c r="B34" s="158" t="s">
        <v>99</v>
      </c>
      <c r="C34" s="149">
        <v>0</v>
      </c>
      <c r="D34" s="159">
        <f t="shared" si="0"/>
        <v>0</v>
      </c>
      <c r="E34" s="160">
        <f t="shared" si="1"/>
        <v>0</v>
      </c>
      <c r="F34" s="160">
        <f t="shared" si="2"/>
        <v>0</v>
      </c>
      <c r="G34" s="160">
        <f t="shared" si="3"/>
        <v>0</v>
      </c>
      <c r="H34" s="160">
        <f t="shared" si="4"/>
        <v>0</v>
      </c>
      <c r="I34" s="151">
        <v>0</v>
      </c>
      <c r="J34" s="161" t="e">
        <f t="shared" si="5"/>
        <v>#DIV/0!</v>
      </c>
      <c r="K34" s="162"/>
      <c r="L34" s="160">
        <f t="shared" si="6"/>
        <v>0</v>
      </c>
      <c r="M34" s="163">
        <f t="shared" si="7"/>
        <v>0</v>
      </c>
    </row>
    <row r="35" spans="1:15" ht="15.5">
      <c r="A35" s="139">
        <v>33</v>
      </c>
      <c r="B35" s="158" t="s">
        <v>100</v>
      </c>
      <c r="C35" s="149">
        <v>0</v>
      </c>
      <c r="D35" s="159">
        <f t="shared" si="0"/>
        <v>0</v>
      </c>
      <c r="E35" s="160">
        <f t="shared" si="1"/>
        <v>0</v>
      </c>
      <c r="F35" s="160">
        <f t="shared" si="2"/>
        <v>0</v>
      </c>
      <c r="G35" s="160">
        <f t="shared" si="3"/>
        <v>0</v>
      </c>
      <c r="H35" s="160">
        <f t="shared" si="4"/>
        <v>0</v>
      </c>
      <c r="I35" s="151">
        <v>0</v>
      </c>
      <c r="J35" s="161" t="e">
        <f t="shared" si="5"/>
        <v>#DIV/0!</v>
      </c>
      <c r="K35" s="162"/>
      <c r="L35" s="160">
        <f t="shared" si="6"/>
        <v>0</v>
      </c>
      <c r="M35" s="163">
        <f t="shared" si="7"/>
        <v>0</v>
      </c>
    </row>
    <row r="36" spans="1:15" ht="15.5">
      <c r="A36" s="139">
        <v>34</v>
      </c>
      <c r="B36" s="158" t="s">
        <v>101</v>
      </c>
      <c r="C36" s="149">
        <v>0</v>
      </c>
      <c r="D36" s="159">
        <f t="shared" si="0"/>
        <v>0</v>
      </c>
      <c r="E36" s="160">
        <f t="shared" si="1"/>
        <v>0</v>
      </c>
      <c r="F36" s="160">
        <f t="shared" si="2"/>
        <v>0</v>
      </c>
      <c r="G36" s="160">
        <f t="shared" si="3"/>
        <v>0</v>
      </c>
      <c r="H36" s="160">
        <f t="shared" si="4"/>
        <v>0</v>
      </c>
      <c r="I36" s="151">
        <v>0</v>
      </c>
      <c r="J36" s="161" t="e">
        <f t="shared" si="5"/>
        <v>#DIV/0!</v>
      </c>
      <c r="K36" s="162"/>
      <c r="L36" s="160">
        <f t="shared" si="6"/>
        <v>0</v>
      </c>
      <c r="M36" s="163">
        <f t="shared" si="7"/>
        <v>0</v>
      </c>
    </row>
    <row r="37" spans="1:15" ht="15.5">
      <c r="A37" s="139">
        <v>35</v>
      </c>
      <c r="B37" s="158" t="s">
        <v>102</v>
      </c>
      <c r="C37" s="149">
        <v>0</v>
      </c>
      <c r="D37" s="159">
        <f t="shared" si="0"/>
        <v>0</v>
      </c>
      <c r="E37" s="160">
        <f t="shared" si="1"/>
        <v>0</v>
      </c>
      <c r="F37" s="160">
        <f t="shared" si="2"/>
        <v>0</v>
      </c>
      <c r="G37" s="160">
        <f t="shared" si="3"/>
        <v>0</v>
      </c>
      <c r="H37" s="160">
        <f t="shared" si="4"/>
        <v>0</v>
      </c>
      <c r="I37" s="151">
        <v>0</v>
      </c>
      <c r="J37" s="161" t="e">
        <f t="shared" si="5"/>
        <v>#DIV/0!</v>
      </c>
      <c r="K37" s="162"/>
      <c r="L37" s="160">
        <f t="shared" si="6"/>
        <v>0</v>
      </c>
      <c r="M37" s="163">
        <f t="shared" si="7"/>
        <v>0</v>
      </c>
    </row>
    <row r="38" spans="1:15" ht="15.5">
      <c r="A38" s="139">
        <v>36</v>
      </c>
      <c r="B38" s="158" t="s">
        <v>103</v>
      </c>
      <c r="C38" s="149">
        <v>0</v>
      </c>
      <c r="D38" s="159">
        <f t="shared" si="0"/>
        <v>0</v>
      </c>
      <c r="E38" s="160">
        <f t="shared" si="1"/>
        <v>0</v>
      </c>
      <c r="F38" s="160">
        <f t="shared" si="2"/>
        <v>0</v>
      </c>
      <c r="G38" s="160">
        <f t="shared" si="3"/>
        <v>0</v>
      </c>
      <c r="H38" s="160">
        <f t="shared" si="4"/>
        <v>0</v>
      </c>
      <c r="I38" s="151">
        <v>0</v>
      </c>
      <c r="J38" s="161" t="e">
        <f t="shared" si="5"/>
        <v>#DIV/0!</v>
      </c>
      <c r="K38" s="162"/>
      <c r="L38" s="160">
        <f t="shared" si="6"/>
        <v>0</v>
      </c>
      <c r="M38" s="163">
        <f t="shared" si="7"/>
        <v>0</v>
      </c>
    </row>
    <row r="39" spans="1:15" ht="15.5">
      <c r="A39" s="139">
        <v>37</v>
      </c>
      <c r="B39" s="158" t="s">
        <v>104</v>
      </c>
      <c r="C39" s="149">
        <v>0</v>
      </c>
      <c r="D39" s="159">
        <f t="shared" si="0"/>
        <v>0</v>
      </c>
      <c r="E39" s="160">
        <f t="shared" si="1"/>
        <v>0</v>
      </c>
      <c r="F39" s="160">
        <f t="shared" si="2"/>
        <v>0</v>
      </c>
      <c r="G39" s="160">
        <f t="shared" si="3"/>
        <v>0</v>
      </c>
      <c r="H39" s="160">
        <f t="shared" si="4"/>
        <v>0</v>
      </c>
      <c r="I39" s="151">
        <v>0</v>
      </c>
      <c r="J39" s="161" t="e">
        <f t="shared" si="5"/>
        <v>#DIV/0!</v>
      </c>
      <c r="K39" s="162"/>
      <c r="L39" s="160">
        <f t="shared" si="6"/>
        <v>0</v>
      </c>
      <c r="M39" s="163">
        <f t="shared" si="7"/>
        <v>0</v>
      </c>
    </row>
    <row r="40" spans="1:15" ht="15.5">
      <c r="A40" s="139">
        <v>38</v>
      </c>
      <c r="B40" s="158" t="s">
        <v>105</v>
      </c>
      <c r="C40" s="149">
        <v>0</v>
      </c>
      <c r="D40" s="159">
        <f t="shared" si="0"/>
        <v>0</v>
      </c>
      <c r="E40" s="160">
        <f t="shared" si="1"/>
        <v>0</v>
      </c>
      <c r="F40" s="160">
        <f t="shared" si="2"/>
        <v>0</v>
      </c>
      <c r="G40" s="160">
        <f t="shared" si="3"/>
        <v>0</v>
      </c>
      <c r="H40" s="160">
        <f t="shared" si="4"/>
        <v>0</v>
      </c>
      <c r="I40" s="151">
        <v>0</v>
      </c>
      <c r="J40" s="161" t="e">
        <f t="shared" si="5"/>
        <v>#DIV/0!</v>
      </c>
      <c r="K40" s="162"/>
      <c r="L40" s="160">
        <f t="shared" si="6"/>
        <v>0</v>
      </c>
      <c r="M40" s="163">
        <f t="shared" si="7"/>
        <v>0</v>
      </c>
      <c r="O40" s="147"/>
    </row>
    <row r="41" spans="1:15" ht="15.5">
      <c r="A41" s="139">
        <v>39</v>
      </c>
      <c r="B41" s="158" t="s">
        <v>106</v>
      </c>
      <c r="C41" s="149">
        <v>0</v>
      </c>
      <c r="D41" s="159">
        <f t="shared" si="0"/>
        <v>0</v>
      </c>
      <c r="E41" s="160">
        <f t="shared" si="1"/>
        <v>0</v>
      </c>
      <c r="F41" s="160">
        <f t="shared" si="2"/>
        <v>0</v>
      </c>
      <c r="G41" s="160">
        <f t="shared" si="3"/>
        <v>0</v>
      </c>
      <c r="H41" s="160">
        <f t="shared" si="4"/>
        <v>0</v>
      </c>
      <c r="I41" s="151">
        <v>0</v>
      </c>
      <c r="J41" s="161" t="e">
        <f t="shared" si="5"/>
        <v>#DIV/0!</v>
      </c>
      <c r="K41" s="162"/>
      <c r="L41" s="160">
        <f t="shared" si="6"/>
        <v>0</v>
      </c>
      <c r="M41" s="163">
        <f t="shared" si="7"/>
        <v>0</v>
      </c>
      <c r="O41" s="155"/>
    </row>
    <row r="42" spans="1:15" ht="15.5">
      <c r="A42" s="139">
        <v>40</v>
      </c>
      <c r="B42" s="158" t="s">
        <v>107</v>
      </c>
      <c r="C42" s="149">
        <v>0</v>
      </c>
      <c r="D42" s="159">
        <f t="shared" si="0"/>
        <v>0</v>
      </c>
      <c r="E42" s="160">
        <f t="shared" si="1"/>
        <v>0</v>
      </c>
      <c r="F42" s="160">
        <f t="shared" si="2"/>
        <v>0</v>
      </c>
      <c r="G42" s="160">
        <f t="shared" si="3"/>
        <v>0</v>
      </c>
      <c r="H42" s="160">
        <f t="shared" si="4"/>
        <v>0</v>
      </c>
      <c r="I42" s="151">
        <v>0</v>
      </c>
      <c r="J42" s="161" t="e">
        <f t="shared" si="5"/>
        <v>#DIV/0!</v>
      </c>
      <c r="K42" s="162"/>
      <c r="L42" s="160">
        <f t="shared" si="6"/>
        <v>0</v>
      </c>
      <c r="M42" s="163">
        <f t="shared" si="7"/>
        <v>0</v>
      </c>
      <c r="O42" s="155"/>
    </row>
    <row r="43" spans="1:15" ht="15.5">
      <c r="A43" s="139">
        <v>41</v>
      </c>
      <c r="B43" s="158" t="s">
        <v>108</v>
      </c>
      <c r="C43" s="149">
        <v>0</v>
      </c>
      <c r="D43" s="159">
        <f t="shared" si="0"/>
        <v>0</v>
      </c>
      <c r="E43" s="160">
        <f t="shared" si="1"/>
        <v>0</v>
      </c>
      <c r="F43" s="160">
        <f t="shared" si="2"/>
        <v>0</v>
      </c>
      <c r="G43" s="160">
        <f t="shared" si="3"/>
        <v>0</v>
      </c>
      <c r="H43" s="160">
        <f t="shared" si="4"/>
        <v>0</v>
      </c>
      <c r="I43" s="151">
        <v>0</v>
      </c>
      <c r="J43" s="161" t="e">
        <f t="shared" si="5"/>
        <v>#DIV/0!</v>
      </c>
      <c r="K43" s="162"/>
      <c r="L43" s="160">
        <f t="shared" si="6"/>
        <v>0</v>
      </c>
      <c r="M43" s="163">
        <f t="shared" si="7"/>
        <v>0</v>
      </c>
      <c r="O43" s="155"/>
    </row>
    <row r="44" spans="1:15" ht="15.5">
      <c r="A44" s="139">
        <v>42</v>
      </c>
      <c r="B44" s="158" t="s">
        <v>109</v>
      </c>
      <c r="C44" s="149">
        <v>0</v>
      </c>
      <c r="D44" s="159">
        <f t="shared" si="0"/>
        <v>0</v>
      </c>
      <c r="E44" s="160">
        <f t="shared" si="1"/>
        <v>0</v>
      </c>
      <c r="F44" s="160">
        <f t="shared" si="2"/>
        <v>0</v>
      </c>
      <c r="G44" s="160">
        <f t="shared" si="3"/>
        <v>0</v>
      </c>
      <c r="H44" s="160">
        <f t="shared" si="4"/>
        <v>0</v>
      </c>
      <c r="I44" s="151">
        <v>0</v>
      </c>
      <c r="J44" s="161" t="e">
        <f t="shared" si="5"/>
        <v>#DIV/0!</v>
      </c>
      <c r="K44" s="162"/>
      <c r="L44" s="160">
        <f t="shared" si="6"/>
        <v>0</v>
      </c>
      <c r="M44" s="163">
        <f t="shared" si="7"/>
        <v>0</v>
      </c>
      <c r="O44" s="155"/>
    </row>
    <row r="45" spans="1:15" ht="15.5">
      <c r="A45" s="139">
        <v>43</v>
      </c>
      <c r="B45" s="158" t="s">
        <v>110</v>
      </c>
      <c r="C45" s="149">
        <v>0</v>
      </c>
      <c r="D45" s="159">
        <f t="shared" si="0"/>
        <v>0</v>
      </c>
      <c r="E45" s="160">
        <f t="shared" si="1"/>
        <v>0</v>
      </c>
      <c r="F45" s="160">
        <f t="shared" si="2"/>
        <v>0</v>
      </c>
      <c r="G45" s="160">
        <f t="shared" si="3"/>
        <v>0</v>
      </c>
      <c r="H45" s="160">
        <f t="shared" si="4"/>
        <v>0</v>
      </c>
      <c r="I45" s="151">
        <v>0</v>
      </c>
      <c r="J45" s="161" t="e">
        <f t="shared" si="5"/>
        <v>#DIV/0!</v>
      </c>
      <c r="K45" s="162"/>
      <c r="L45" s="160">
        <f t="shared" si="6"/>
        <v>0</v>
      </c>
      <c r="M45" s="163">
        <f t="shared" si="7"/>
        <v>0</v>
      </c>
      <c r="O45" s="155"/>
    </row>
    <row r="46" spans="1:15" ht="15.5">
      <c r="A46" s="139">
        <v>44</v>
      </c>
      <c r="B46" s="158" t="s">
        <v>111</v>
      </c>
      <c r="C46" s="149">
        <v>0</v>
      </c>
      <c r="D46" s="159">
        <f t="shared" si="0"/>
        <v>0</v>
      </c>
      <c r="E46" s="160">
        <f t="shared" si="1"/>
        <v>0</v>
      </c>
      <c r="F46" s="160">
        <f t="shared" si="2"/>
        <v>0</v>
      </c>
      <c r="G46" s="160">
        <f t="shared" si="3"/>
        <v>0</v>
      </c>
      <c r="H46" s="160">
        <f t="shared" si="4"/>
        <v>0</v>
      </c>
      <c r="I46" s="151">
        <v>0</v>
      </c>
      <c r="J46" s="161" t="e">
        <f t="shared" si="5"/>
        <v>#DIV/0!</v>
      </c>
      <c r="K46" s="162"/>
      <c r="L46" s="160">
        <f t="shared" si="6"/>
        <v>0</v>
      </c>
      <c r="M46" s="163">
        <f t="shared" si="7"/>
        <v>0</v>
      </c>
      <c r="O46" s="155"/>
    </row>
    <row r="47" spans="1:15" ht="15.5">
      <c r="A47" s="139">
        <v>45</v>
      </c>
      <c r="B47" s="158" t="s">
        <v>112</v>
      </c>
      <c r="C47" s="149">
        <v>0</v>
      </c>
      <c r="D47" s="159">
        <f t="shared" si="0"/>
        <v>0</v>
      </c>
      <c r="E47" s="160">
        <f t="shared" si="1"/>
        <v>0</v>
      </c>
      <c r="F47" s="160">
        <f t="shared" si="2"/>
        <v>0</v>
      </c>
      <c r="G47" s="160">
        <f t="shared" si="3"/>
        <v>0</v>
      </c>
      <c r="H47" s="160">
        <f t="shared" si="4"/>
        <v>0</v>
      </c>
      <c r="I47" s="151">
        <v>0</v>
      </c>
      <c r="J47" s="161" t="e">
        <f t="shared" si="5"/>
        <v>#DIV/0!</v>
      </c>
      <c r="K47" s="162"/>
      <c r="L47" s="160">
        <f t="shared" si="6"/>
        <v>0</v>
      </c>
      <c r="M47" s="163">
        <f t="shared" si="7"/>
        <v>0</v>
      </c>
      <c r="O47" s="155"/>
    </row>
    <row r="48" spans="1:15" ht="15.5">
      <c r="A48" s="139">
        <v>46</v>
      </c>
      <c r="B48" s="158" t="s">
        <v>113</v>
      </c>
      <c r="C48" s="149">
        <v>0</v>
      </c>
      <c r="D48" s="159">
        <f t="shared" si="0"/>
        <v>0</v>
      </c>
      <c r="E48" s="160">
        <f t="shared" si="1"/>
        <v>0</v>
      </c>
      <c r="F48" s="160">
        <f t="shared" si="2"/>
        <v>0</v>
      </c>
      <c r="G48" s="160">
        <f t="shared" si="3"/>
        <v>0</v>
      </c>
      <c r="H48" s="160">
        <f t="shared" si="4"/>
        <v>0</v>
      </c>
      <c r="I48" s="151">
        <v>0</v>
      </c>
      <c r="J48" s="161" t="e">
        <f t="shared" si="5"/>
        <v>#DIV/0!</v>
      </c>
      <c r="K48" s="162"/>
      <c r="L48" s="160">
        <f t="shared" si="6"/>
        <v>0</v>
      </c>
      <c r="M48" s="163">
        <f t="shared" si="7"/>
        <v>0</v>
      </c>
      <c r="O48" s="155"/>
    </row>
    <row r="49" spans="1:18" ht="15.5">
      <c r="A49" s="139">
        <v>47</v>
      </c>
      <c r="B49" s="158" t="s">
        <v>114</v>
      </c>
      <c r="C49" s="149">
        <v>0</v>
      </c>
      <c r="D49" s="159">
        <f t="shared" si="0"/>
        <v>0</v>
      </c>
      <c r="E49" s="160">
        <f t="shared" si="1"/>
        <v>0</v>
      </c>
      <c r="F49" s="160">
        <f t="shared" si="2"/>
        <v>0</v>
      </c>
      <c r="G49" s="160">
        <f t="shared" si="3"/>
        <v>0</v>
      </c>
      <c r="H49" s="160">
        <f t="shared" si="4"/>
        <v>0</v>
      </c>
      <c r="I49" s="151">
        <v>0</v>
      </c>
      <c r="J49" s="161" t="e">
        <f t="shared" si="5"/>
        <v>#DIV/0!</v>
      </c>
      <c r="K49" s="162"/>
      <c r="L49" s="160">
        <f t="shared" si="6"/>
        <v>0</v>
      </c>
      <c r="M49" s="163">
        <f t="shared" si="7"/>
        <v>0</v>
      </c>
      <c r="O49" s="155"/>
    </row>
    <row r="50" spans="1:18" ht="15.5">
      <c r="A50" s="139">
        <v>48</v>
      </c>
      <c r="B50" s="158" t="s">
        <v>115</v>
      </c>
      <c r="C50" s="149">
        <v>0</v>
      </c>
      <c r="D50" s="159">
        <f t="shared" si="0"/>
        <v>0</v>
      </c>
      <c r="E50" s="160">
        <f t="shared" si="1"/>
        <v>0</v>
      </c>
      <c r="F50" s="160">
        <f t="shared" si="2"/>
        <v>0</v>
      </c>
      <c r="G50" s="160">
        <f t="shared" si="3"/>
        <v>0</v>
      </c>
      <c r="H50" s="160">
        <f t="shared" si="4"/>
        <v>0</v>
      </c>
      <c r="I50" s="151">
        <v>0</v>
      </c>
      <c r="J50" s="161" t="e">
        <f t="shared" si="5"/>
        <v>#DIV/0!</v>
      </c>
      <c r="K50" s="162"/>
      <c r="L50" s="160">
        <f t="shared" si="6"/>
        <v>0</v>
      </c>
      <c r="M50" s="163">
        <f t="shared" si="7"/>
        <v>0</v>
      </c>
      <c r="O50" s="155"/>
    </row>
    <row r="51" spans="1:18" ht="15.5">
      <c r="A51" s="139">
        <v>49</v>
      </c>
      <c r="B51" s="158" t="s">
        <v>116</v>
      </c>
      <c r="C51" s="149">
        <v>0</v>
      </c>
      <c r="D51" s="159">
        <f t="shared" si="0"/>
        <v>0</v>
      </c>
      <c r="E51" s="160">
        <f t="shared" si="1"/>
        <v>0</v>
      </c>
      <c r="F51" s="160">
        <f t="shared" si="2"/>
        <v>0</v>
      </c>
      <c r="G51" s="160">
        <f t="shared" si="3"/>
        <v>0</v>
      </c>
      <c r="H51" s="160">
        <f t="shared" si="4"/>
        <v>0</v>
      </c>
      <c r="I51" s="151">
        <v>0</v>
      </c>
      <c r="J51" s="161" t="e">
        <f t="shared" si="5"/>
        <v>#DIV/0!</v>
      </c>
      <c r="K51" s="162"/>
      <c r="L51" s="160">
        <f t="shared" si="6"/>
        <v>0</v>
      </c>
      <c r="M51" s="163">
        <f t="shared" si="7"/>
        <v>0</v>
      </c>
      <c r="O51" s="155"/>
      <c r="Q51" s="157"/>
    </row>
    <row r="52" spans="1:18" ht="15.5">
      <c r="A52" s="139">
        <v>50</v>
      </c>
      <c r="B52" s="158" t="s">
        <v>117</v>
      </c>
      <c r="C52" s="149">
        <v>0</v>
      </c>
      <c r="D52" s="159">
        <f t="shared" si="0"/>
        <v>0</v>
      </c>
      <c r="E52" s="160">
        <f t="shared" si="1"/>
        <v>0</v>
      </c>
      <c r="F52" s="160">
        <f t="shared" si="2"/>
        <v>0</v>
      </c>
      <c r="G52" s="160">
        <f t="shared" si="3"/>
        <v>0</v>
      </c>
      <c r="H52" s="160">
        <f t="shared" si="4"/>
        <v>0</v>
      </c>
      <c r="I52" s="151">
        <v>0</v>
      </c>
      <c r="J52" s="161" t="e">
        <f t="shared" si="5"/>
        <v>#DIV/0!</v>
      </c>
      <c r="K52" s="162"/>
      <c r="L52" s="160">
        <f t="shared" si="6"/>
        <v>0</v>
      </c>
      <c r="M52" s="163">
        <f t="shared" si="7"/>
        <v>0</v>
      </c>
      <c r="O52" s="155"/>
      <c r="Q52" s="157"/>
    </row>
    <row r="53" spans="1:18" ht="15.5">
      <c r="A53" s="139">
        <v>51</v>
      </c>
      <c r="B53" s="158" t="s">
        <v>118</v>
      </c>
      <c r="C53" s="149">
        <v>0</v>
      </c>
      <c r="D53" s="159">
        <f t="shared" si="0"/>
        <v>0</v>
      </c>
      <c r="E53" s="160">
        <f t="shared" si="1"/>
        <v>0</v>
      </c>
      <c r="F53" s="160">
        <f t="shared" si="2"/>
        <v>0</v>
      </c>
      <c r="G53" s="160">
        <f t="shared" si="3"/>
        <v>0</v>
      </c>
      <c r="H53" s="160">
        <f t="shared" si="4"/>
        <v>0</v>
      </c>
      <c r="I53" s="151">
        <v>0</v>
      </c>
      <c r="J53" s="161" t="e">
        <f t="shared" si="5"/>
        <v>#DIV/0!</v>
      </c>
      <c r="K53" s="162"/>
      <c r="L53" s="160">
        <f t="shared" si="6"/>
        <v>0</v>
      </c>
      <c r="M53" s="163">
        <f t="shared" si="7"/>
        <v>0</v>
      </c>
      <c r="O53" s="155"/>
      <c r="Q53" s="157"/>
    </row>
    <row r="54" spans="1:18" ht="16" thickBot="1">
      <c r="A54" s="166">
        <v>52</v>
      </c>
      <c r="B54" s="167" t="s">
        <v>119</v>
      </c>
      <c r="C54" s="168">
        <v>0</v>
      </c>
      <c r="D54" s="169">
        <f t="shared" si="0"/>
        <v>0</v>
      </c>
      <c r="E54" s="170">
        <f t="shared" si="1"/>
        <v>0</v>
      </c>
      <c r="F54" s="170">
        <f t="shared" si="2"/>
        <v>0</v>
      </c>
      <c r="G54" s="170">
        <f t="shared" si="3"/>
        <v>0</v>
      </c>
      <c r="H54" s="170">
        <f t="shared" si="4"/>
        <v>0</v>
      </c>
      <c r="I54" s="171">
        <v>0</v>
      </c>
      <c r="J54" s="172" t="e">
        <f t="shared" si="5"/>
        <v>#DIV/0!</v>
      </c>
      <c r="K54" s="173"/>
      <c r="L54" s="170">
        <f t="shared" si="6"/>
        <v>0</v>
      </c>
      <c r="M54" s="174">
        <f t="shared" si="7"/>
        <v>0</v>
      </c>
    </row>
    <row r="55" spans="1:18" ht="15.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</row>
    <row r="56" spans="1:18" ht="16" thickBot="1">
      <c r="A56" s="177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P56" s="179"/>
      <c r="R56" s="179"/>
    </row>
    <row r="57" spans="1:18" ht="31.5" thickBot="1">
      <c r="A57" s="180" t="s">
        <v>120</v>
      </c>
      <c r="B57" s="181" t="s">
        <v>66</v>
      </c>
      <c r="C57" s="182">
        <f t="shared" ref="C57:I57" si="8">SUM(C2:C54)</f>
        <v>1100</v>
      </c>
      <c r="D57" s="182">
        <f t="shared" si="8"/>
        <v>902</v>
      </c>
      <c r="E57" s="182">
        <f t="shared" si="8"/>
        <v>88</v>
      </c>
      <c r="F57" s="182">
        <f t="shared" si="8"/>
        <v>198</v>
      </c>
      <c r="G57" s="182">
        <f t="shared" si="8"/>
        <v>112.75</v>
      </c>
      <c r="H57" s="182">
        <f t="shared" si="8"/>
        <v>198.44</v>
      </c>
      <c r="I57" s="182">
        <f t="shared" si="8"/>
        <v>200</v>
      </c>
      <c r="J57" s="183" t="e">
        <f>AVERAGE(J3:J54)</f>
        <v>#DIV/0!</v>
      </c>
      <c r="K57" s="182"/>
      <c r="L57" s="182">
        <f t="shared" ref="L57:M57" si="9">SUM(L2:L54)</f>
        <v>797.19</v>
      </c>
      <c r="M57" s="184">
        <f t="shared" si="9"/>
        <v>302.81</v>
      </c>
      <c r="P57" s="179"/>
    </row>
    <row r="58" spans="1:18" ht="15.5">
      <c r="A58" s="177"/>
      <c r="P58" s="179"/>
    </row>
    <row r="59" spans="1:18" ht="15.5">
      <c r="A59" s="177"/>
    </row>
    <row r="60" spans="1:18" ht="15.5">
      <c r="A60" s="177"/>
      <c r="P60" s="179"/>
    </row>
    <row r="61" spans="1:18" ht="15.5">
      <c r="A61" s="177"/>
    </row>
    <row r="62" spans="1:18" ht="15.5">
      <c r="A62" s="177"/>
    </row>
    <row r="63" spans="1:18" ht="15.5">
      <c r="A63" s="177"/>
    </row>
    <row r="64" spans="1:18" ht="15.5">
      <c r="A64" s="177"/>
    </row>
    <row r="65" spans="1:1" ht="15.5">
      <c r="A65" s="177"/>
    </row>
    <row r="66" spans="1:1" ht="15.5">
      <c r="A66" s="177"/>
    </row>
    <row r="67" spans="1:1" ht="15.5">
      <c r="A67" s="177"/>
    </row>
    <row r="68" spans="1:1" ht="15.5">
      <c r="A68" s="177"/>
    </row>
    <row r="69" spans="1:1" ht="15.5">
      <c r="A69" s="177"/>
    </row>
    <row r="70" spans="1:1" ht="15.5">
      <c r="A70" s="177"/>
    </row>
    <row r="71" spans="1:1" ht="15.5">
      <c r="A71" s="177"/>
    </row>
    <row r="72" spans="1:1" ht="15.5">
      <c r="A72" s="177"/>
    </row>
    <row r="73" spans="1:1" ht="15.5">
      <c r="A73" s="177"/>
    </row>
    <row r="74" spans="1:1" ht="15.5">
      <c r="A74" s="177"/>
    </row>
    <row r="75" spans="1:1" ht="15.5">
      <c r="A75" s="177"/>
    </row>
    <row r="76" spans="1:1" ht="15.5">
      <c r="A76" s="177"/>
    </row>
    <row r="77" spans="1:1" ht="15.5">
      <c r="A77" s="177"/>
    </row>
    <row r="78" spans="1:1" ht="15.5">
      <c r="A78" s="177"/>
    </row>
    <row r="79" spans="1:1" ht="15.5">
      <c r="A79" s="177"/>
    </row>
    <row r="80" spans="1:1" ht="15.5">
      <c r="A80" s="177"/>
    </row>
    <row r="81" spans="1:1" ht="15.5">
      <c r="A81" s="177"/>
    </row>
    <row r="82" spans="1:1" ht="15.5">
      <c r="A82" s="177"/>
    </row>
    <row r="83" spans="1:1" ht="15.5">
      <c r="A83" s="177"/>
    </row>
    <row r="84" spans="1:1" ht="15.5">
      <c r="A84" s="177"/>
    </row>
    <row r="85" spans="1:1" ht="15.5">
      <c r="A85" s="177"/>
    </row>
    <row r="86" spans="1:1" ht="15.5">
      <c r="A86" s="177"/>
    </row>
    <row r="87" spans="1:1" ht="15.5">
      <c r="A87" s="177"/>
    </row>
    <row r="88" spans="1:1" ht="15.5">
      <c r="A88" s="177"/>
    </row>
    <row r="89" spans="1:1" ht="15.5">
      <c r="A89" s="177"/>
    </row>
    <row r="90" spans="1:1" ht="15.5">
      <c r="A90" s="177"/>
    </row>
    <row r="91" spans="1:1" ht="15.5">
      <c r="A91" s="177"/>
    </row>
    <row r="92" spans="1:1" ht="15.5">
      <c r="A92" s="177"/>
    </row>
    <row r="93" spans="1:1" ht="15.5">
      <c r="A93" s="177"/>
    </row>
    <row r="94" spans="1:1" ht="15.5">
      <c r="A94" s="177"/>
    </row>
    <row r="95" spans="1:1" ht="15.5">
      <c r="A95" s="177"/>
    </row>
    <row r="96" spans="1:1" ht="15.5">
      <c r="A96" s="177"/>
    </row>
    <row r="97" spans="1:1" ht="15.5">
      <c r="A97" s="177"/>
    </row>
    <row r="98" spans="1:1" ht="15.5">
      <c r="A98" s="177"/>
    </row>
    <row r="99" spans="1:1" ht="15.5">
      <c r="A99" s="177"/>
    </row>
    <row r="100" spans="1:1" ht="15.5">
      <c r="A100" s="177"/>
    </row>
    <row r="101" spans="1:1" ht="15.5">
      <c r="A101" s="177"/>
    </row>
    <row r="102" spans="1:1" ht="15.5">
      <c r="A102" s="177"/>
    </row>
    <row r="103" spans="1:1" ht="15.5">
      <c r="A103" s="177"/>
    </row>
    <row r="104" spans="1:1" ht="15.5">
      <c r="A104" s="177"/>
    </row>
    <row r="105" spans="1:1" ht="15.5">
      <c r="A105" s="177"/>
    </row>
    <row r="106" spans="1:1" ht="15.5">
      <c r="A106" s="177"/>
    </row>
    <row r="107" spans="1:1" ht="15.5">
      <c r="A107" s="177"/>
    </row>
    <row r="108" spans="1:1" ht="15.5">
      <c r="A108" s="177"/>
    </row>
    <row r="109" spans="1:1" ht="15.5">
      <c r="A109" s="177"/>
    </row>
    <row r="110" spans="1:1" ht="15.5">
      <c r="A110" s="177"/>
    </row>
    <row r="111" spans="1:1" ht="15.5">
      <c r="A111" s="177"/>
    </row>
    <row r="112" spans="1:1" ht="15.5">
      <c r="A112" s="177"/>
    </row>
    <row r="113" spans="1:1" ht="15.5">
      <c r="A113" s="177"/>
    </row>
    <row r="114" spans="1:1" ht="15.5">
      <c r="A114" s="177"/>
    </row>
    <row r="115" spans="1:1" ht="15.5">
      <c r="A115" s="177"/>
    </row>
    <row r="116" spans="1:1" ht="15.5">
      <c r="A116" s="177"/>
    </row>
    <row r="117" spans="1:1" ht="15.5">
      <c r="A117" s="177"/>
    </row>
    <row r="118" spans="1:1" ht="15.5">
      <c r="A118" s="177"/>
    </row>
    <row r="119" spans="1:1" ht="15.5">
      <c r="A119" s="177"/>
    </row>
    <row r="120" spans="1:1" ht="15.5">
      <c r="A120" s="177"/>
    </row>
    <row r="121" spans="1:1" ht="15.5">
      <c r="A121" s="177"/>
    </row>
    <row r="122" spans="1:1" ht="15.5">
      <c r="A122" s="177"/>
    </row>
    <row r="123" spans="1:1" ht="15.5">
      <c r="A123" s="177"/>
    </row>
    <row r="124" spans="1:1" ht="15.5">
      <c r="A124" s="177"/>
    </row>
    <row r="125" spans="1:1" ht="15.5">
      <c r="A125" s="177"/>
    </row>
    <row r="126" spans="1:1" ht="15.5">
      <c r="A126" s="177"/>
    </row>
    <row r="127" spans="1:1" ht="15.5">
      <c r="A127" s="177"/>
    </row>
    <row r="128" spans="1:1" ht="15.5">
      <c r="A128" s="177"/>
    </row>
    <row r="129" spans="1:1" ht="15.5">
      <c r="A129" s="177"/>
    </row>
    <row r="130" spans="1:1" ht="15.5">
      <c r="A130" s="177"/>
    </row>
    <row r="131" spans="1:1" ht="15.5">
      <c r="A131" s="177"/>
    </row>
    <row r="132" spans="1:1" ht="15.5">
      <c r="A132" s="177"/>
    </row>
    <row r="133" spans="1:1" ht="15.5">
      <c r="A133" s="177"/>
    </row>
    <row r="134" spans="1:1" ht="15.5">
      <c r="A134" s="177"/>
    </row>
    <row r="135" spans="1:1" ht="15.5">
      <c r="A135" s="177"/>
    </row>
    <row r="136" spans="1:1" ht="15.5">
      <c r="A136" s="177"/>
    </row>
    <row r="137" spans="1:1" ht="15.5">
      <c r="A137" s="177"/>
    </row>
    <row r="138" spans="1:1" ht="15.5">
      <c r="A138" s="177"/>
    </row>
    <row r="139" spans="1:1" ht="15.5">
      <c r="A139" s="177"/>
    </row>
    <row r="140" spans="1:1" ht="15.5">
      <c r="A140" s="177"/>
    </row>
    <row r="141" spans="1:1" ht="15.5">
      <c r="A141" s="177"/>
    </row>
    <row r="142" spans="1:1" ht="15.5">
      <c r="A142" s="177"/>
    </row>
    <row r="143" spans="1:1" ht="15.5">
      <c r="A143" s="177"/>
    </row>
    <row r="144" spans="1:1" ht="15.5">
      <c r="A144" s="177"/>
    </row>
    <row r="145" spans="1:1" ht="15.5">
      <c r="A145" s="177"/>
    </row>
    <row r="146" spans="1:1" ht="15.5">
      <c r="A146" s="177"/>
    </row>
    <row r="147" spans="1:1" ht="15.5">
      <c r="A147" s="177"/>
    </row>
    <row r="148" spans="1:1" ht="15.5">
      <c r="A148" s="177"/>
    </row>
    <row r="149" spans="1:1" ht="15.5">
      <c r="A149" s="177"/>
    </row>
    <row r="150" spans="1:1" ht="15.5">
      <c r="A150" s="177"/>
    </row>
    <row r="151" spans="1:1" ht="15.5">
      <c r="A151" s="177"/>
    </row>
    <row r="152" spans="1:1" ht="15.5">
      <c r="A152" s="177"/>
    </row>
    <row r="153" spans="1:1" ht="15.5">
      <c r="A153" s="177"/>
    </row>
    <row r="154" spans="1:1" ht="15.5">
      <c r="A154" s="177"/>
    </row>
    <row r="155" spans="1:1" ht="15.5">
      <c r="A155" s="177"/>
    </row>
    <row r="156" spans="1:1" ht="15.5">
      <c r="A156" s="177"/>
    </row>
    <row r="157" spans="1:1" ht="15.5">
      <c r="A157" s="177"/>
    </row>
    <row r="158" spans="1:1" ht="15.5">
      <c r="A158" s="177"/>
    </row>
    <row r="159" spans="1:1" ht="15.5">
      <c r="A159" s="177"/>
    </row>
    <row r="160" spans="1:1" ht="15.5">
      <c r="A160" s="177"/>
    </row>
    <row r="161" spans="1:1" ht="15.5">
      <c r="A161" s="177"/>
    </row>
    <row r="162" spans="1:1" ht="15.5">
      <c r="A162" s="177"/>
    </row>
    <row r="163" spans="1:1" ht="15.5">
      <c r="A163" s="177"/>
    </row>
    <row r="164" spans="1:1" ht="15.5">
      <c r="A164" s="177"/>
    </row>
    <row r="165" spans="1:1" ht="15.5">
      <c r="A165" s="177"/>
    </row>
    <row r="166" spans="1:1" ht="15.5">
      <c r="A166" s="177"/>
    </row>
    <row r="167" spans="1:1" ht="15.5">
      <c r="A167" s="177"/>
    </row>
    <row r="168" spans="1:1" ht="15.5">
      <c r="A168" s="177"/>
    </row>
    <row r="169" spans="1:1" ht="15.5">
      <c r="A169" s="177"/>
    </row>
    <row r="170" spans="1:1" ht="15.5">
      <c r="A170" s="177"/>
    </row>
    <row r="171" spans="1:1" ht="15.5">
      <c r="A171" s="177"/>
    </row>
    <row r="172" spans="1:1" ht="15.5">
      <c r="A172" s="177"/>
    </row>
    <row r="173" spans="1:1" ht="15.5">
      <c r="A173" s="177"/>
    </row>
    <row r="174" spans="1:1" ht="15.5">
      <c r="A174" s="177"/>
    </row>
    <row r="175" spans="1:1" ht="15.5">
      <c r="A175" s="177"/>
    </row>
    <row r="176" spans="1:1" ht="15.5">
      <c r="A176" s="177"/>
    </row>
    <row r="177" spans="1:1" ht="15.5">
      <c r="A177" s="177"/>
    </row>
    <row r="178" spans="1:1" ht="15.5">
      <c r="A178" s="177"/>
    </row>
    <row r="179" spans="1:1" ht="15.5">
      <c r="A179" s="177"/>
    </row>
    <row r="180" spans="1:1" ht="15.5">
      <c r="A180" s="177"/>
    </row>
    <row r="181" spans="1:1" ht="15.5">
      <c r="A181" s="177"/>
    </row>
    <row r="182" spans="1:1" ht="15.5">
      <c r="A182" s="177"/>
    </row>
    <row r="183" spans="1:1" ht="15.5">
      <c r="A183" s="177"/>
    </row>
    <row r="184" spans="1:1" ht="15.5">
      <c r="A184" s="177"/>
    </row>
    <row r="185" spans="1:1" ht="15.5">
      <c r="A185" s="177"/>
    </row>
    <row r="186" spans="1:1" ht="15.5">
      <c r="A186" s="177"/>
    </row>
    <row r="187" spans="1:1" ht="15.5">
      <c r="A187" s="177"/>
    </row>
    <row r="188" spans="1:1" ht="15.5">
      <c r="A188" s="177"/>
    </row>
    <row r="189" spans="1:1" ht="15.5">
      <c r="A189" s="177"/>
    </row>
    <row r="190" spans="1:1" ht="15.5">
      <c r="A190" s="177"/>
    </row>
    <row r="191" spans="1:1" ht="15.5">
      <c r="A191" s="177"/>
    </row>
    <row r="192" spans="1:1" ht="15.5">
      <c r="A192" s="177"/>
    </row>
    <row r="193" spans="1:1" ht="15.5">
      <c r="A193" s="177"/>
    </row>
    <row r="194" spans="1:1" ht="15.5">
      <c r="A194" s="177"/>
    </row>
    <row r="195" spans="1:1" ht="15.5">
      <c r="A195" s="177"/>
    </row>
    <row r="196" spans="1:1" ht="15.5">
      <c r="A196" s="177"/>
    </row>
    <row r="197" spans="1:1" ht="15.5">
      <c r="A197" s="177"/>
    </row>
    <row r="198" spans="1:1" ht="15.5">
      <c r="A198" s="177"/>
    </row>
    <row r="199" spans="1:1" ht="15.5">
      <c r="A199" s="177"/>
    </row>
    <row r="200" spans="1:1" ht="15.5">
      <c r="A200" s="177"/>
    </row>
    <row r="201" spans="1:1" ht="15.5">
      <c r="A201" s="177"/>
    </row>
    <row r="202" spans="1:1" ht="15.5">
      <c r="A202" s="177"/>
    </row>
    <row r="203" spans="1:1" ht="15.5">
      <c r="A203" s="177"/>
    </row>
    <row r="204" spans="1:1" ht="15.5">
      <c r="A204" s="177"/>
    </row>
    <row r="205" spans="1:1" ht="15.5">
      <c r="A205" s="177"/>
    </row>
    <row r="206" spans="1:1" ht="15.5">
      <c r="A206" s="177"/>
    </row>
    <row r="207" spans="1:1" ht="15.5">
      <c r="A207" s="177"/>
    </row>
    <row r="208" spans="1:1" ht="15.5">
      <c r="A208" s="177"/>
    </row>
    <row r="209" spans="1:1" ht="15.5">
      <c r="A209" s="177"/>
    </row>
    <row r="210" spans="1:1" ht="15.5">
      <c r="A210" s="177"/>
    </row>
    <row r="211" spans="1:1" ht="15.5">
      <c r="A211" s="177"/>
    </row>
    <row r="212" spans="1:1" ht="15.5">
      <c r="A212" s="177"/>
    </row>
    <row r="213" spans="1:1" ht="15.5">
      <c r="A213" s="177"/>
    </row>
    <row r="214" spans="1:1" ht="15.5">
      <c r="A214" s="177"/>
    </row>
    <row r="215" spans="1:1" ht="15.5">
      <c r="A215" s="177"/>
    </row>
    <row r="216" spans="1:1" ht="15.5">
      <c r="A216" s="177"/>
    </row>
    <row r="217" spans="1:1" ht="15.5">
      <c r="A217" s="177"/>
    </row>
    <row r="218" spans="1:1" ht="15.5">
      <c r="A218" s="177"/>
    </row>
    <row r="219" spans="1:1" ht="15.5">
      <c r="A219" s="177"/>
    </row>
    <row r="220" spans="1:1" ht="15.5">
      <c r="A220" s="177"/>
    </row>
    <row r="221" spans="1:1" ht="15.5">
      <c r="A221" s="177"/>
    </row>
    <row r="222" spans="1:1" ht="15.5">
      <c r="A222" s="177"/>
    </row>
    <row r="223" spans="1:1" ht="15.5">
      <c r="A223" s="177"/>
    </row>
    <row r="224" spans="1:1" ht="15.5">
      <c r="A224" s="177"/>
    </row>
    <row r="225" spans="1:1" ht="15.5">
      <c r="A225" s="177"/>
    </row>
    <row r="226" spans="1:1" ht="15.5">
      <c r="A226" s="177"/>
    </row>
    <row r="227" spans="1:1" ht="15.5">
      <c r="A227" s="177"/>
    </row>
    <row r="228" spans="1:1" ht="15.5">
      <c r="A228" s="177"/>
    </row>
    <row r="229" spans="1:1" ht="15.5">
      <c r="A229" s="177"/>
    </row>
    <row r="230" spans="1:1" ht="15.5">
      <c r="A230" s="177"/>
    </row>
    <row r="231" spans="1:1" ht="15.5">
      <c r="A231" s="177"/>
    </row>
    <row r="232" spans="1:1" ht="15.5">
      <c r="A232" s="177"/>
    </row>
    <row r="233" spans="1:1" ht="15.5">
      <c r="A233" s="177"/>
    </row>
    <row r="234" spans="1:1" ht="15.5">
      <c r="A234" s="177"/>
    </row>
    <row r="235" spans="1:1" ht="15.5">
      <c r="A235" s="177"/>
    </row>
    <row r="236" spans="1:1" ht="15.5">
      <c r="A236" s="177"/>
    </row>
    <row r="237" spans="1:1" ht="15.5">
      <c r="A237" s="177"/>
    </row>
    <row r="238" spans="1:1" ht="15.5">
      <c r="A238" s="177"/>
    </row>
    <row r="239" spans="1:1" ht="15.5">
      <c r="A239" s="177"/>
    </row>
    <row r="240" spans="1:1" ht="15.5">
      <c r="A240" s="177"/>
    </row>
    <row r="241" spans="1:1" ht="15.5">
      <c r="A241" s="177"/>
    </row>
    <row r="242" spans="1:1" ht="15.5">
      <c r="A242" s="177"/>
    </row>
    <row r="243" spans="1:1" ht="15.5">
      <c r="A243" s="177"/>
    </row>
    <row r="244" spans="1:1" ht="15.5">
      <c r="A244" s="177"/>
    </row>
    <row r="245" spans="1:1" ht="15.5">
      <c r="A245" s="177"/>
    </row>
    <row r="246" spans="1:1" ht="15.5">
      <c r="A246" s="177"/>
    </row>
    <row r="247" spans="1:1" ht="15.5">
      <c r="A247" s="177"/>
    </row>
    <row r="248" spans="1:1" ht="15.5">
      <c r="A248" s="177"/>
    </row>
    <row r="249" spans="1:1" ht="15.5">
      <c r="A249" s="177"/>
    </row>
    <row r="250" spans="1:1" ht="15.5">
      <c r="A250" s="177"/>
    </row>
    <row r="251" spans="1:1" ht="15.5">
      <c r="A251" s="177"/>
    </row>
    <row r="252" spans="1:1" ht="15.5">
      <c r="A252" s="177"/>
    </row>
    <row r="253" spans="1:1" ht="15.5">
      <c r="A253" s="177"/>
    </row>
    <row r="254" spans="1:1" ht="15.5">
      <c r="A254" s="177"/>
    </row>
    <row r="255" spans="1:1" ht="15.5">
      <c r="A255" s="177"/>
    </row>
    <row r="256" spans="1:1" ht="15.5">
      <c r="A256" s="177"/>
    </row>
    <row r="257" spans="1:1" ht="15.5">
      <c r="A257" s="177"/>
    </row>
    <row r="258" spans="1:1" ht="15.5">
      <c r="A258" s="177"/>
    </row>
    <row r="259" spans="1:1" ht="15.5">
      <c r="A259" s="177"/>
    </row>
    <row r="260" spans="1:1" ht="15.5">
      <c r="A260" s="177"/>
    </row>
    <row r="261" spans="1:1" ht="15.5">
      <c r="A261" s="177"/>
    </row>
    <row r="262" spans="1:1" ht="15.5">
      <c r="A262" s="177"/>
    </row>
    <row r="263" spans="1:1" ht="15.5">
      <c r="A263" s="177"/>
    </row>
    <row r="264" spans="1:1" ht="15.5">
      <c r="A264" s="177"/>
    </row>
    <row r="265" spans="1:1" ht="15.5">
      <c r="A265" s="177"/>
    </row>
    <row r="266" spans="1:1" ht="15.5">
      <c r="A266" s="177"/>
    </row>
    <row r="267" spans="1:1" ht="15.5">
      <c r="A267" s="177"/>
    </row>
    <row r="268" spans="1:1" ht="15.5">
      <c r="A268" s="177"/>
    </row>
    <row r="269" spans="1:1" ht="15.5">
      <c r="A269" s="177"/>
    </row>
    <row r="270" spans="1:1" ht="15.5">
      <c r="A270" s="177"/>
    </row>
    <row r="271" spans="1:1" ht="15.5">
      <c r="A271" s="177"/>
    </row>
    <row r="272" spans="1:1" ht="15.5">
      <c r="A272" s="177"/>
    </row>
    <row r="273" spans="1:1" ht="15.5">
      <c r="A273" s="177"/>
    </row>
    <row r="274" spans="1:1" ht="15.5">
      <c r="A274" s="177"/>
    </row>
    <row r="275" spans="1:1" ht="15.5">
      <c r="A275" s="177"/>
    </row>
    <row r="276" spans="1:1" ht="15.5">
      <c r="A276" s="177"/>
    </row>
    <row r="277" spans="1:1" ht="15.5">
      <c r="A277" s="177"/>
    </row>
    <row r="278" spans="1:1" ht="15.5">
      <c r="A278" s="177"/>
    </row>
    <row r="279" spans="1:1" ht="15.5">
      <c r="A279" s="177"/>
    </row>
    <row r="280" spans="1:1" ht="15.5">
      <c r="A280" s="177"/>
    </row>
    <row r="281" spans="1:1" ht="15.5">
      <c r="A281" s="177"/>
    </row>
    <row r="282" spans="1:1" ht="15.5">
      <c r="A282" s="177"/>
    </row>
    <row r="283" spans="1:1" ht="15.5">
      <c r="A283" s="177"/>
    </row>
    <row r="284" spans="1:1" ht="15.5">
      <c r="A284" s="177"/>
    </row>
    <row r="285" spans="1:1" ht="15.5">
      <c r="A285" s="177"/>
    </row>
    <row r="286" spans="1:1" ht="15.5">
      <c r="A286" s="177"/>
    </row>
    <row r="287" spans="1:1" ht="15.5">
      <c r="A287" s="177"/>
    </row>
    <row r="288" spans="1:1" ht="15.5">
      <c r="A288" s="177"/>
    </row>
    <row r="289" spans="1:1" ht="15.5">
      <c r="A289" s="177"/>
    </row>
    <row r="290" spans="1:1" ht="15.5">
      <c r="A290" s="177"/>
    </row>
    <row r="291" spans="1:1" ht="15.5">
      <c r="A291" s="177"/>
    </row>
    <row r="292" spans="1:1" ht="15.5">
      <c r="A292" s="177"/>
    </row>
    <row r="293" spans="1:1" ht="15.5">
      <c r="A293" s="177"/>
    </row>
    <row r="294" spans="1:1" ht="15.5">
      <c r="A294" s="177"/>
    </row>
    <row r="295" spans="1:1" ht="15.5">
      <c r="A295" s="177"/>
    </row>
    <row r="296" spans="1:1" ht="15.5">
      <c r="A296" s="177"/>
    </row>
    <row r="297" spans="1:1" ht="15.5">
      <c r="A297" s="177"/>
    </row>
    <row r="298" spans="1:1" ht="15.5">
      <c r="A298" s="177"/>
    </row>
    <row r="299" spans="1:1" ht="15.5">
      <c r="A299" s="177"/>
    </row>
    <row r="300" spans="1:1" ht="15.5">
      <c r="A300" s="177"/>
    </row>
    <row r="301" spans="1:1" ht="15.5">
      <c r="A301" s="177"/>
    </row>
    <row r="302" spans="1:1" ht="15.5">
      <c r="A302" s="177"/>
    </row>
    <row r="303" spans="1:1" ht="15.5">
      <c r="A303" s="177"/>
    </row>
    <row r="304" spans="1:1" ht="15.5">
      <c r="A304" s="177"/>
    </row>
    <row r="305" spans="1:1" ht="15.5">
      <c r="A305" s="177"/>
    </row>
    <row r="306" spans="1:1" ht="15.5">
      <c r="A306" s="177"/>
    </row>
    <row r="307" spans="1:1" ht="15.5">
      <c r="A307" s="177"/>
    </row>
    <row r="308" spans="1:1" ht="15.5">
      <c r="A308" s="177"/>
    </row>
    <row r="309" spans="1:1" ht="15.5">
      <c r="A309" s="177"/>
    </row>
    <row r="310" spans="1:1" ht="15.5">
      <c r="A310" s="177"/>
    </row>
    <row r="311" spans="1:1" ht="15.5">
      <c r="A311" s="177"/>
    </row>
    <row r="312" spans="1:1" ht="15.5">
      <c r="A312" s="177"/>
    </row>
    <row r="313" spans="1:1" ht="15.5">
      <c r="A313" s="177"/>
    </row>
    <row r="314" spans="1:1" ht="15.5">
      <c r="A314" s="177"/>
    </row>
    <row r="315" spans="1:1" ht="15.5">
      <c r="A315" s="177"/>
    </row>
    <row r="316" spans="1:1" ht="15.5">
      <c r="A316" s="177"/>
    </row>
    <row r="317" spans="1:1" ht="15.5">
      <c r="A317" s="177"/>
    </row>
    <row r="318" spans="1:1" ht="15.5">
      <c r="A318" s="177"/>
    </row>
    <row r="319" spans="1:1" ht="15.5">
      <c r="A319" s="177"/>
    </row>
    <row r="320" spans="1:1" ht="15.5">
      <c r="A320" s="177"/>
    </row>
    <row r="321" spans="1:1" ht="15.5">
      <c r="A321" s="177"/>
    </row>
    <row r="322" spans="1:1" ht="15.5">
      <c r="A322" s="177"/>
    </row>
    <row r="323" spans="1:1" ht="15.5">
      <c r="A323" s="177"/>
    </row>
    <row r="324" spans="1:1" ht="15.5">
      <c r="A324" s="177"/>
    </row>
    <row r="325" spans="1:1" ht="15.5">
      <c r="A325" s="177"/>
    </row>
    <row r="326" spans="1:1" ht="15.5">
      <c r="A326" s="177"/>
    </row>
    <row r="327" spans="1:1" ht="15.5">
      <c r="A327" s="177"/>
    </row>
    <row r="328" spans="1:1" ht="15.5">
      <c r="A328" s="177"/>
    </row>
    <row r="329" spans="1:1" ht="15.5">
      <c r="A329" s="177"/>
    </row>
    <row r="330" spans="1:1" ht="15.5">
      <c r="A330" s="177"/>
    </row>
    <row r="331" spans="1:1" ht="15.5">
      <c r="A331" s="177"/>
    </row>
    <row r="332" spans="1:1" ht="15.5">
      <c r="A332" s="177"/>
    </row>
    <row r="333" spans="1:1" ht="15.5">
      <c r="A333" s="177"/>
    </row>
    <row r="334" spans="1:1" ht="15.5">
      <c r="A334" s="177"/>
    </row>
    <row r="335" spans="1:1" ht="15.5">
      <c r="A335" s="177"/>
    </row>
    <row r="336" spans="1:1" ht="15.5">
      <c r="A336" s="177"/>
    </row>
    <row r="337" spans="1:1" ht="15.5">
      <c r="A337" s="177"/>
    </row>
    <row r="338" spans="1:1" ht="15.5">
      <c r="A338" s="177"/>
    </row>
    <row r="339" spans="1:1" ht="15.5">
      <c r="A339" s="177"/>
    </row>
    <row r="340" spans="1:1" ht="15.5">
      <c r="A340" s="177"/>
    </row>
    <row r="341" spans="1:1" ht="15.5">
      <c r="A341" s="177"/>
    </row>
    <row r="342" spans="1:1" ht="15.5">
      <c r="A342" s="177"/>
    </row>
    <row r="343" spans="1:1" ht="15.5">
      <c r="A343" s="177"/>
    </row>
    <row r="344" spans="1:1" ht="15.5">
      <c r="A344" s="177"/>
    </row>
    <row r="345" spans="1:1" ht="15.5">
      <c r="A345" s="177"/>
    </row>
    <row r="346" spans="1:1" ht="15.5">
      <c r="A346" s="177"/>
    </row>
    <row r="347" spans="1:1" ht="15.5">
      <c r="A347" s="177"/>
    </row>
    <row r="348" spans="1:1" ht="15.5">
      <c r="A348" s="177"/>
    </row>
    <row r="349" spans="1:1" ht="15.5">
      <c r="A349" s="177"/>
    </row>
    <row r="350" spans="1:1" ht="15.5">
      <c r="A350" s="177"/>
    </row>
    <row r="351" spans="1:1" ht="15.5">
      <c r="A351" s="177"/>
    </row>
    <row r="352" spans="1:1" ht="15.5">
      <c r="A352" s="177"/>
    </row>
    <row r="353" spans="1:1" ht="15.5">
      <c r="A353" s="177"/>
    </row>
    <row r="354" spans="1:1" ht="15.5">
      <c r="A354" s="177"/>
    </row>
    <row r="355" spans="1:1" ht="15.5">
      <c r="A355" s="177"/>
    </row>
    <row r="356" spans="1:1" ht="15.5">
      <c r="A356" s="177"/>
    </row>
    <row r="357" spans="1:1" ht="15.5">
      <c r="A357" s="177"/>
    </row>
    <row r="358" spans="1:1" ht="15.5">
      <c r="A358" s="177"/>
    </row>
    <row r="359" spans="1:1" ht="15.5">
      <c r="A359" s="177"/>
    </row>
    <row r="360" spans="1:1" ht="15.5">
      <c r="A360" s="177"/>
    </row>
    <row r="361" spans="1:1" ht="15.5">
      <c r="A361" s="177"/>
    </row>
    <row r="362" spans="1:1" ht="15.5">
      <c r="A362" s="177"/>
    </row>
    <row r="363" spans="1:1" ht="15.5">
      <c r="A363" s="177"/>
    </row>
    <row r="364" spans="1:1" ht="15.5">
      <c r="A364" s="177"/>
    </row>
    <row r="365" spans="1:1" ht="15.5">
      <c r="A365" s="177"/>
    </row>
    <row r="366" spans="1:1" ht="15.5">
      <c r="A366" s="177"/>
    </row>
    <row r="367" spans="1:1" ht="15.5">
      <c r="A367" s="177"/>
    </row>
    <row r="368" spans="1:1" ht="15.5">
      <c r="A368" s="177"/>
    </row>
    <row r="369" spans="1:1" ht="15.5">
      <c r="A369" s="177"/>
    </row>
    <row r="370" spans="1:1" ht="15.5">
      <c r="A370" s="177"/>
    </row>
    <row r="371" spans="1:1" ht="15.5">
      <c r="A371" s="177"/>
    </row>
    <row r="372" spans="1:1" ht="15.5">
      <c r="A372" s="177"/>
    </row>
    <row r="373" spans="1:1" ht="15.5">
      <c r="A373" s="177"/>
    </row>
    <row r="374" spans="1:1" ht="15.5">
      <c r="A374" s="177"/>
    </row>
    <row r="375" spans="1:1" ht="15.5">
      <c r="A375" s="177"/>
    </row>
    <row r="376" spans="1:1" ht="15.5">
      <c r="A376" s="177"/>
    </row>
    <row r="377" spans="1:1" ht="15.5">
      <c r="A377" s="177"/>
    </row>
    <row r="378" spans="1:1" ht="15.5">
      <c r="A378" s="177"/>
    </row>
    <row r="379" spans="1:1" ht="15.5">
      <c r="A379" s="177"/>
    </row>
    <row r="380" spans="1:1" ht="15.5">
      <c r="A380" s="177"/>
    </row>
    <row r="381" spans="1:1" ht="15.5">
      <c r="A381" s="177"/>
    </row>
    <row r="382" spans="1:1" ht="15.5">
      <c r="A382" s="177"/>
    </row>
    <row r="383" spans="1:1" ht="15.5">
      <c r="A383" s="177"/>
    </row>
    <row r="384" spans="1:1" ht="15.5">
      <c r="A384" s="177"/>
    </row>
    <row r="385" spans="1:1" ht="15.5">
      <c r="A385" s="177"/>
    </row>
    <row r="386" spans="1:1" ht="15.5">
      <c r="A386" s="177"/>
    </row>
    <row r="387" spans="1:1" ht="15.5">
      <c r="A387" s="177"/>
    </row>
    <row r="388" spans="1:1" ht="15.5">
      <c r="A388" s="177"/>
    </row>
    <row r="389" spans="1:1" ht="15.5">
      <c r="A389" s="177"/>
    </row>
    <row r="390" spans="1:1" ht="15.5">
      <c r="A390" s="177"/>
    </row>
    <row r="391" spans="1:1" ht="15.5">
      <c r="A391" s="177"/>
    </row>
    <row r="392" spans="1:1" ht="15.5">
      <c r="A392" s="177"/>
    </row>
    <row r="393" spans="1:1" ht="15.5">
      <c r="A393" s="177"/>
    </row>
    <row r="394" spans="1:1" ht="15.5">
      <c r="A394" s="177"/>
    </row>
    <row r="395" spans="1:1" ht="15.5">
      <c r="A395" s="177"/>
    </row>
    <row r="396" spans="1:1" ht="15.5">
      <c r="A396" s="177"/>
    </row>
    <row r="397" spans="1:1" ht="15.5">
      <c r="A397" s="177"/>
    </row>
    <row r="398" spans="1:1" ht="15.5">
      <c r="A398" s="177"/>
    </row>
    <row r="399" spans="1:1" ht="15.5">
      <c r="A399" s="177"/>
    </row>
    <row r="400" spans="1:1" ht="15.5">
      <c r="A400" s="177"/>
    </row>
    <row r="401" spans="1:1" ht="15.5">
      <c r="A401" s="177"/>
    </row>
    <row r="402" spans="1:1" ht="15.5">
      <c r="A402" s="177"/>
    </row>
    <row r="403" spans="1:1" ht="15.5">
      <c r="A403" s="177"/>
    </row>
    <row r="404" spans="1:1" ht="15.5">
      <c r="A404" s="177"/>
    </row>
    <row r="405" spans="1:1" ht="15.5">
      <c r="A405" s="177"/>
    </row>
    <row r="406" spans="1:1" ht="15.5">
      <c r="A406" s="177"/>
    </row>
    <row r="407" spans="1:1" ht="15.5">
      <c r="A407" s="177"/>
    </row>
    <row r="408" spans="1:1" ht="15.5">
      <c r="A408" s="177"/>
    </row>
    <row r="409" spans="1:1" ht="15.5">
      <c r="A409" s="177"/>
    </row>
    <row r="410" spans="1:1" ht="15.5">
      <c r="A410" s="177"/>
    </row>
    <row r="411" spans="1:1" ht="15.5">
      <c r="A411" s="177"/>
    </row>
    <row r="412" spans="1:1" ht="15.5">
      <c r="A412" s="177"/>
    </row>
    <row r="413" spans="1:1" ht="15.5">
      <c r="A413" s="177"/>
    </row>
    <row r="414" spans="1:1" ht="15.5">
      <c r="A414" s="177"/>
    </row>
    <row r="415" spans="1:1" ht="15.5">
      <c r="A415" s="177"/>
    </row>
    <row r="416" spans="1:1" ht="15.5">
      <c r="A416" s="177"/>
    </row>
    <row r="417" spans="1:1" ht="15.5">
      <c r="A417" s="177"/>
    </row>
    <row r="418" spans="1:1" ht="15.5">
      <c r="A418" s="177"/>
    </row>
    <row r="419" spans="1:1" ht="15.5">
      <c r="A419" s="177"/>
    </row>
    <row r="420" spans="1:1" ht="15.5">
      <c r="A420" s="177"/>
    </row>
    <row r="421" spans="1:1" ht="15.5">
      <c r="A421" s="177"/>
    </row>
    <row r="422" spans="1:1" ht="15.5">
      <c r="A422" s="177"/>
    </row>
    <row r="423" spans="1:1" ht="15.5">
      <c r="A423" s="177"/>
    </row>
    <row r="424" spans="1:1" ht="15.5">
      <c r="A424" s="177"/>
    </row>
    <row r="425" spans="1:1" ht="15.5">
      <c r="A425" s="177"/>
    </row>
    <row r="426" spans="1:1" ht="15.5">
      <c r="A426" s="177"/>
    </row>
    <row r="427" spans="1:1" ht="15.5">
      <c r="A427" s="177"/>
    </row>
    <row r="428" spans="1:1" ht="15.5">
      <c r="A428" s="177"/>
    </row>
    <row r="429" spans="1:1" ht="15.5">
      <c r="A429" s="177"/>
    </row>
    <row r="430" spans="1:1" ht="15.5">
      <c r="A430" s="177"/>
    </row>
    <row r="431" spans="1:1" ht="15.5">
      <c r="A431" s="177"/>
    </row>
    <row r="432" spans="1:1" ht="15.5">
      <c r="A432" s="177"/>
    </row>
    <row r="433" spans="1:1" ht="15.5">
      <c r="A433" s="177"/>
    </row>
    <row r="434" spans="1:1" ht="15.5">
      <c r="A434" s="177"/>
    </row>
    <row r="435" spans="1:1" ht="15.5">
      <c r="A435" s="177"/>
    </row>
    <row r="436" spans="1:1" ht="15.5">
      <c r="A436" s="177"/>
    </row>
    <row r="437" spans="1:1" ht="15.5">
      <c r="A437" s="177"/>
    </row>
    <row r="438" spans="1:1" ht="15.5">
      <c r="A438" s="177"/>
    </row>
    <row r="439" spans="1:1" ht="15.5">
      <c r="A439" s="177"/>
    </row>
    <row r="440" spans="1:1" ht="15.5">
      <c r="A440" s="177"/>
    </row>
    <row r="441" spans="1:1" ht="15.5">
      <c r="A441" s="177"/>
    </row>
    <row r="442" spans="1:1" ht="15.5">
      <c r="A442" s="177"/>
    </row>
    <row r="443" spans="1:1" ht="15.5">
      <c r="A443" s="177"/>
    </row>
    <row r="444" spans="1:1" ht="15.5">
      <c r="A444" s="177"/>
    </row>
    <row r="445" spans="1:1" ht="15.5">
      <c r="A445" s="177"/>
    </row>
    <row r="446" spans="1:1" ht="15.5">
      <c r="A446" s="177"/>
    </row>
    <row r="447" spans="1:1" ht="15.5">
      <c r="A447" s="177"/>
    </row>
    <row r="448" spans="1:1" ht="15.5">
      <c r="A448" s="177"/>
    </row>
    <row r="449" spans="1:1" ht="15.5">
      <c r="A449" s="177"/>
    </row>
    <row r="450" spans="1:1" ht="15.5">
      <c r="A450" s="177"/>
    </row>
    <row r="451" spans="1:1" ht="15.5">
      <c r="A451" s="177"/>
    </row>
    <row r="452" spans="1:1" ht="15.5">
      <c r="A452" s="177"/>
    </row>
    <row r="453" spans="1:1" ht="15.5">
      <c r="A453" s="177"/>
    </row>
    <row r="454" spans="1:1" ht="15.5">
      <c r="A454" s="177"/>
    </row>
    <row r="455" spans="1:1" ht="15.5">
      <c r="A455" s="177"/>
    </row>
    <row r="456" spans="1:1" ht="15.5">
      <c r="A456" s="177"/>
    </row>
    <row r="457" spans="1:1" ht="15.5">
      <c r="A457" s="177"/>
    </row>
    <row r="458" spans="1:1" ht="15.5">
      <c r="A458" s="177"/>
    </row>
    <row r="459" spans="1:1" ht="15.5">
      <c r="A459" s="177"/>
    </row>
    <row r="460" spans="1:1" ht="15.5">
      <c r="A460" s="177"/>
    </row>
    <row r="461" spans="1:1" ht="15.5">
      <c r="A461" s="177"/>
    </row>
    <row r="462" spans="1:1" ht="15.5">
      <c r="A462" s="177"/>
    </row>
    <row r="463" spans="1:1" ht="15.5">
      <c r="A463" s="177"/>
    </row>
    <row r="464" spans="1:1" ht="15.5">
      <c r="A464" s="177"/>
    </row>
    <row r="465" spans="1:1" ht="15.5">
      <c r="A465" s="177"/>
    </row>
    <row r="466" spans="1:1" ht="15.5">
      <c r="A466" s="177"/>
    </row>
    <row r="467" spans="1:1" ht="15.5">
      <c r="A467" s="177"/>
    </row>
    <row r="468" spans="1:1" ht="15.5">
      <c r="A468" s="177"/>
    </row>
    <row r="469" spans="1:1" ht="15.5">
      <c r="A469" s="177"/>
    </row>
    <row r="470" spans="1:1" ht="15.5">
      <c r="A470" s="177"/>
    </row>
    <row r="471" spans="1:1" ht="15.5">
      <c r="A471" s="177"/>
    </row>
    <row r="472" spans="1:1" ht="15.5">
      <c r="A472" s="177"/>
    </row>
    <row r="473" spans="1:1" ht="15.5">
      <c r="A473" s="177"/>
    </row>
    <row r="474" spans="1:1" ht="15.5">
      <c r="A474" s="177"/>
    </row>
    <row r="475" spans="1:1" ht="15.5">
      <c r="A475" s="177"/>
    </row>
    <row r="476" spans="1:1" ht="15.5">
      <c r="A476" s="177"/>
    </row>
    <row r="477" spans="1:1" ht="15.5">
      <c r="A477" s="177"/>
    </row>
    <row r="478" spans="1:1" ht="15.5">
      <c r="A478" s="177"/>
    </row>
    <row r="479" spans="1:1" ht="15.5">
      <c r="A479" s="177"/>
    </row>
    <row r="480" spans="1:1" ht="15.5">
      <c r="A480" s="177"/>
    </row>
    <row r="481" spans="1:1" ht="15.5">
      <c r="A481" s="177"/>
    </row>
    <row r="482" spans="1:1" ht="15.5">
      <c r="A482" s="177"/>
    </row>
    <row r="483" spans="1:1" ht="15.5">
      <c r="A483" s="177"/>
    </row>
    <row r="484" spans="1:1" ht="15.5">
      <c r="A484" s="177"/>
    </row>
    <row r="485" spans="1:1" ht="15.5">
      <c r="A485" s="177"/>
    </row>
    <row r="486" spans="1:1" ht="15.5">
      <c r="A486" s="177"/>
    </row>
    <row r="487" spans="1:1" ht="15.5">
      <c r="A487" s="177"/>
    </row>
    <row r="488" spans="1:1" ht="15.5">
      <c r="A488" s="177"/>
    </row>
    <row r="489" spans="1:1" ht="15.5">
      <c r="A489" s="177"/>
    </row>
    <row r="490" spans="1:1" ht="15.5">
      <c r="A490" s="177"/>
    </row>
    <row r="491" spans="1:1" ht="15.5">
      <c r="A491" s="177"/>
    </row>
    <row r="492" spans="1:1" ht="15.5">
      <c r="A492" s="177"/>
    </row>
    <row r="493" spans="1:1" ht="15.5">
      <c r="A493" s="177"/>
    </row>
    <row r="494" spans="1:1" ht="15.5">
      <c r="A494" s="177"/>
    </row>
    <row r="495" spans="1:1" ht="15.5">
      <c r="A495" s="177"/>
    </row>
    <row r="496" spans="1:1" ht="15.5">
      <c r="A496" s="177"/>
    </row>
    <row r="497" spans="1:1" ht="15.5">
      <c r="A497" s="177"/>
    </row>
    <row r="498" spans="1:1" ht="15.5">
      <c r="A498" s="177"/>
    </row>
    <row r="499" spans="1:1" ht="15.5">
      <c r="A499" s="177"/>
    </row>
    <row r="500" spans="1:1" ht="15.5">
      <c r="A500" s="177"/>
    </row>
    <row r="501" spans="1:1" ht="15.5">
      <c r="A501" s="177"/>
    </row>
    <row r="502" spans="1:1" ht="15.5">
      <c r="A502" s="177"/>
    </row>
    <row r="503" spans="1:1" ht="15.5">
      <c r="A503" s="177"/>
    </row>
    <row r="504" spans="1:1" ht="15.5">
      <c r="A504" s="177"/>
    </row>
    <row r="505" spans="1:1" ht="15.5">
      <c r="A505" s="177"/>
    </row>
    <row r="506" spans="1:1" ht="15.5">
      <c r="A506" s="177"/>
    </row>
    <row r="507" spans="1:1" ht="15.5">
      <c r="A507" s="177"/>
    </row>
    <row r="508" spans="1:1" ht="15.5">
      <c r="A508" s="177"/>
    </row>
    <row r="509" spans="1:1" ht="15.5">
      <c r="A509" s="177"/>
    </row>
    <row r="510" spans="1:1" ht="15.5">
      <c r="A510" s="177"/>
    </row>
    <row r="511" spans="1:1" ht="15.5">
      <c r="A511" s="177"/>
    </row>
    <row r="512" spans="1:1" ht="15.5">
      <c r="A512" s="177"/>
    </row>
    <row r="513" spans="1:1" ht="15.5">
      <c r="A513" s="177"/>
    </row>
    <row r="514" spans="1:1" ht="15.5">
      <c r="A514" s="177"/>
    </row>
    <row r="515" spans="1:1" ht="15.5">
      <c r="A515" s="177"/>
    </row>
    <row r="516" spans="1:1" ht="15.5">
      <c r="A516" s="177"/>
    </row>
    <row r="517" spans="1:1" ht="15.5">
      <c r="A517" s="177"/>
    </row>
    <row r="518" spans="1:1" ht="15.5">
      <c r="A518" s="177"/>
    </row>
    <row r="519" spans="1:1" ht="15.5">
      <c r="A519" s="177"/>
    </row>
    <row r="520" spans="1:1" ht="15.5">
      <c r="A520" s="177"/>
    </row>
    <row r="521" spans="1:1" ht="15.5">
      <c r="A521" s="177"/>
    </row>
    <row r="522" spans="1:1" ht="15.5">
      <c r="A522" s="177"/>
    </row>
    <row r="523" spans="1:1" ht="15.5">
      <c r="A523" s="177"/>
    </row>
    <row r="524" spans="1:1" ht="15.5">
      <c r="A524" s="177"/>
    </row>
    <row r="525" spans="1:1" ht="15.5">
      <c r="A525" s="177"/>
    </row>
    <row r="526" spans="1:1" ht="15.5">
      <c r="A526" s="177"/>
    </row>
    <row r="527" spans="1:1" ht="15.5">
      <c r="A527" s="177"/>
    </row>
    <row r="528" spans="1:1" ht="15.5">
      <c r="A528" s="177"/>
    </row>
    <row r="529" spans="1:1" ht="15.5">
      <c r="A529" s="177"/>
    </row>
    <row r="530" spans="1:1" ht="15.5">
      <c r="A530" s="177"/>
    </row>
    <row r="531" spans="1:1" ht="15.5">
      <c r="A531" s="177"/>
    </row>
    <row r="532" spans="1:1" ht="15.5">
      <c r="A532" s="177"/>
    </row>
    <row r="533" spans="1:1" ht="15.5">
      <c r="A533" s="177"/>
    </row>
    <row r="534" spans="1:1" ht="15.5">
      <c r="A534" s="177"/>
    </row>
    <row r="535" spans="1:1" ht="15.5">
      <c r="A535" s="177"/>
    </row>
    <row r="536" spans="1:1" ht="15.5">
      <c r="A536" s="177"/>
    </row>
    <row r="537" spans="1:1" ht="15.5">
      <c r="A537" s="177"/>
    </row>
    <row r="538" spans="1:1" ht="15.5">
      <c r="A538" s="177"/>
    </row>
    <row r="539" spans="1:1" ht="15.5">
      <c r="A539" s="177"/>
    </row>
    <row r="540" spans="1:1" ht="15.5">
      <c r="A540" s="177"/>
    </row>
    <row r="541" spans="1:1" ht="15.5">
      <c r="A541" s="177"/>
    </row>
    <row r="542" spans="1:1" ht="15.5">
      <c r="A542" s="177"/>
    </row>
    <row r="543" spans="1:1" ht="15.5">
      <c r="A543" s="177"/>
    </row>
    <row r="544" spans="1:1" ht="15.5">
      <c r="A544" s="177"/>
    </row>
    <row r="545" spans="1:1" ht="15.5">
      <c r="A545" s="177"/>
    </row>
    <row r="546" spans="1:1" ht="15.5">
      <c r="A546" s="177"/>
    </row>
    <row r="547" spans="1:1" ht="15.5">
      <c r="A547" s="177"/>
    </row>
    <row r="548" spans="1:1" ht="15.5">
      <c r="A548" s="177"/>
    </row>
    <row r="549" spans="1:1" ht="15.5">
      <c r="A549" s="177"/>
    </row>
    <row r="550" spans="1:1" ht="15.5">
      <c r="A550" s="177"/>
    </row>
    <row r="551" spans="1:1" ht="15.5">
      <c r="A551" s="177"/>
    </row>
    <row r="552" spans="1:1" ht="15.5">
      <c r="A552" s="177"/>
    </row>
    <row r="553" spans="1:1" ht="15.5">
      <c r="A553" s="177"/>
    </row>
    <row r="554" spans="1:1" ht="15.5">
      <c r="A554" s="177"/>
    </row>
    <row r="555" spans="1:1" ht="15.5">
      <c r="A555" s="177"/>
    </row>
    <row r="556" spans="1:1" ht="15.5">
      <c r="A556" s="177"/>
    </row>
    <row r="557" spans="1:1" ht="15.5">
      <c r="A557" s="177"/>
    </row>
    <row r="558" spans="1:1" ht="15.5">
      <c r="A558" s="177"/>
    </row>
    <row r="559" spans="1:1" ht="15.5">
      <c r="A559" s="177"/>
    </row>
    <row r="560" spans="1:1" ht="15.5">
      <c r="A560" s="177"/>
    </row>
    <row r="561" spans="1:1" ht="15.5">
      <c r="A561" s="177"/>
    </row>
    <row r="562" spans="1:1" ht="15.5">
      <c r="A562" s="177"/>
    </row>
    <row r="563" spans="1:1" ht="15.5">
      <c r="A563" s="177"/>
    </row>
    <row r="564" spans="1:1" ht="15.5">
      <c r="A564" s="177"/>
    </row>
    <row r="565" spans="1:1" ht="15.5">
      <c r="A565" s="177"/>
    </row>
    <row r="566" spans="1:1" ht="15.5">
      <c r="A566" s="177"/>
    </row>
    <row r="567" spans="1:1" ht="15.5">
      <c r="A567" s="177"/>
    </row>
    <row r="568" spans="1:1" ht="15.5">
      <c r="A568" s="177"/>
    </row>
    <row r="569" spans="1:1" ht="15.5">
      <c r="A569" s="177"/>
    </row>
    <row r="570" spans="1:1" ht="15.5">
      <c r="A570" s="177"/>
    </row>
    <row r="571" spans="1:1" ht="15.5">
      <c r="A571" s="177"/>
    </row>
    <row r="572" spans="1:1" ht="15.5">
      <c r="A572" s="177"/>
    </row>
    <row r="573" spans="1:1" ht="15.5">
      <c r="A573" s="177"/>
    </row>
    <row r="574" spans="1:1" ht="15.5">
      <c r="A574" s="177"/>
    </row>
    <row r="575" spans="1:1" ht="15.5">
      <c r="A575" s="177"/>
    </row>
    <row r="576" spans="1:1" ht="15.5">
      <c r="A576" s="177"/>
    </row>
    <row r="577" spans="1:1" ht="15.5">
      <c r="A577" s="177"/>
    </row>
    <row r="578" spans="1:1" ht="15.5">
      <c r="A578" s="177"/>
    </row>
    <row r="579" spans="1:1" ht="15.5">
      <c r="A579" s="177"/>
    </row>
    <row r="580" spans="1:1" ht="15.5">
      <c r="A580" s="177"/>
    </row>
    <row r="581" spans="1:1" ht="15.5">
      <c r="A581" s="177"/>
    </row>
    <row r="582" spans="1:1" ht="15.5">
      <c r="A582" s="177"/>
    </row>
    <row r="583" spans="1:1" ht="15.5">
      <c r="A583" s="177"/>
    </row>
    <row r="584" spans="1:1" ht="15.5">
      <c r="A584" s="177"/>
    </row>
    <row r="585" spans="1:1" ht="15.5">
      <c r="A585" s="177"/>
    </row>
    <row r="586" spans="1:1" ht="15.5">
      <c r="A586" s="177"/>
    </row>
    <row r="587" spans="1:1" ht="15.5">
      <c r="A587" s="177"/>
    </row>
    <row r="588" spans="1:1" ht="15.5">
      <c r="A588" s="177"/>
    </row>
    <row r="589" spans="1:1" ht="15.5">
      <c r="A589" s="177"/>
    </row>
    <row r="590" spans="1:1" ht="15.5">
      <c r="A590" s="177"/>
    </row>
    <row r="591" spans="1:1" ht="15.5">
      <c r="A591" s="177"/>
    </row>
    <row r="592" spans="1:1" ht="15.5">
      <c r="A592" s="177"/>
    </row>
    <row r="593" spans="1:1" ht="15.5">
      <c r="A593" s="177"/>
    </row>
    <row r="594" spans="1:1" ht="15.5">
      <c r="A594" s="177"/>
    </row>
    <row r="595" spans="1:1" ht="15.5">
      <c r="A595" s="177"/>
    </row>
    <row r="596" spans="1:1" ht="15.5">
      <c r="A596" s="177"/>
    </row>
    <row r="597" spans="1:1" ht="15.5">
      <c r="A597" s="177"/>
    </row>
    <row r="598" spans="1:1" ht="15.5">
      <c r="A598" s="177"/>
    </row>
    <row r="599" spans="1:1" ht="15.5">
      <c r="A599" s="177"/>
    </row>
    <row r="600" spans="1:1" ht="15.5">
      <c r="A600" s="177"/>
    </row>
    <row r="601" spans="1:1" ht="15.5">
      <c r="A601" s="177"/>
    </row>
    <row r="602" spans="1:1" ht="15.5">
      <c r="A602" s="177"/>
    </row>
    <row r="603" spans="1:1" ht="15.5">
      <c r="A603" s="177"/>
    </row>
    <row r="604" spans="1:1" ht="15.5">
      <c r="A604" s="177"/>
    </row>
    <row r="605" spans="1:1" ht="15.5">
      <c r="A605" s="177"/>
    </row>
    <row r="606" spans="1:1" ht="15.5">
      <c r="A606" s="177"/>
    </row>
    <row r="607" spans="1:1" ht="15.5">
      <c r="A607" s="177"/>
    </row>
    <row r="608" spans="1:1" ht="15.5">
      <c r="A608" s="177"/>
    </row>
    <row r="609" spans="1:1" ht="15.5">
      <c r="A609" s="177"/>
    </row>
    <row r="610" spans="1:1" ht="15.5">
      <c r="A610" s="177"/>
    </row>
    <row r="611" spans="1:1" ht="15.5">
      <c r="A611" s="177"/>
    </row>
    <row r="612" spans="1:1" ht="15.5">
      <c r="A612" s="177"/>
    </row>
    <row r="613" spans="1:1" ht="15.5">
      <c r="A613" s="177"/>
    </row>
    <row r="614" spans="1:1" ht="15.5">
      <c r="A614" s="177"/>
    </row>
    <row r="615" spans="1:1" ht="15.5">
      <c r="A615" s="177"/>
    </row>
    <row r="616" spans="1:1" ht="15.5">
      <c r="A616" s="177"/>
    </row>
    <row r="617" spans="1:1" ht="15.5">
      <c r="A617" s="177"/>
    </row>
    <row r="618" spans="1:1" ht="15.5">
      <c r="A618" s="177"/>
    </row>
    <row r="619" spans="1:1" ht="15.5">
      <c r="A619" s="177"/>
    </row>
    <row r="620" spans="1:1" ht="15.5">
      <c r="A620" s="177"/>
    </row>
    <row r="621" spans="1:1" ht="15.5">
      <c r="A621" s="177"/>
    </row>
    <row r="622" spans="1:1" ht="15.5">
      <c r="A622" s="177"/>
    </row>
    <row r="623" spans="1:1" ht="15.5">
      <c r="A623" s="177"/>
    </row>
    <row r="624" spans="1:1" ht="15.5">
      <c r="A624" s="177"/>
    </row>
    <row r="625" spans="1:1" ht="15.5">
      <c r="A625" s="177"/>
    </row>
    <row r="626" spans="1:1" ht="15.5">
      <c r="A626" s="177"/>
    </row>
    <row r="627" spans="1:1" ht="15.5">
      <c r="A627" s="177"/>
    </row>
    <row r="628" spans="1:1" ht="15.5">
      <c r="A628" s="177"/>
    </row>
    <row r="629" spans="1:1" ht="15.5">
      <c r="A629" s="177"/>
    </row>
    <row r="630" spans="1:1" ht="15.5">
      <c r="A630" s="177"/>
    </row>
    <row r="631" spans="1:1" ht="15.5">
      <c r="A631" s="177"/>
    </row>
    <row r="632" spans="1:1" ht="15.5">
      <c r="A632" s="177"/>
    </row>
    <row r="633" spans="1:1" ht="15.5">
      <c r="A633" s="177"/>
    </row>
    <row r="634" spans="1:1" ht="15.5">
      <c r="A634" s="177"/>
    </row>
    <row r="635" spans="1:1" ht="15.5">
      <c r="A635" s="177"/>
    </row>
    <row r="636" spans="1:1" ht="15.5">
      <c r="A636" s="177"/>
    </row>
    <row r="637" spans="1:1" ht="15.5">
      <c r="A637" s="177"/>
    </row>
    <row r="638" spans="1:1" ht="15.5">
      <c r="A638" s="177"/>
    </row>
    <row r="639" spans="1:1" ht="15.5">
      <c r="A639" s="177"/>
    </row>
    <row r="640" spans="1:1" ht="15.5">
      <c r="A640" s="177"/>
    </row>
    <row r="641" spans="1:1" ht="15.5">
      <c r="A641" s="177"/>
    </row>
    <row r="642" spans="1:1" ht="15.5">
      <c r="A642" s="177"/>
    </row>
    <row r="643" spans="1:1" ht="15.5">
      <c r="A643" s="177"/>
    </row>
    <row r="644" spans="1:1" ht="15.5">
      <c r="A644" s="177"/>
    </row>
    <row r="645" spans="1:1" ht="15.5">
      <c r="A645" s="177"/>
    </row>
    <row r="646" spans="1:1" ht="15.5">
      <c r="A646" s="177"/>
    </row>
    <row r="647" spans="1:1" ht="15.5">
      <c r="A647" s="177"/>
    </row>
    <row r="648" spans="1:1" ht="15.5">
      <c r="A648" s="177"/>
    </row>
    <row r="649" spans="1:1" ht="15.5">
      <c r="A649" s="177"/>
    </row>
    <row r="650" spans="1:1" ht="15.5">
      <c r="A650" s="177"/>
    </row>
    <row r="651" spans="1:1" ht="15.5">
      <c r="A651" s="177"/>
    </row>
    <row r="652" spans="1:1" ht="15.5">
      <c r="A652" s="177"/>
    </row>
    <row r="653" spans="1:1" ht="15.5">
      <c r="A653" s="177"/>
    </row>
    <row r="654" spans="1:1" ht="15.5">
      <c r="A654" s="177"/>
    </row>
    <row r="655" spans="1:1" ht="15.5">
      <c r="A655" s="177"/>
    </row>
    <row r="656" spans="1:1" ht="15.5">
      <c r="A656" s="177"/>
    </row>
    <row r="657" spans="1:1" ht="15.5">
      <c r="A657" s="177"/>
    </row>
    <row r="658" spans="1:1" ht="15.5">
      <c r="A658" s="177"/>
    </row>
    <row r="659" spans="1:1" ht="15.5">
      <c r="A659" s="177"/>
    </row>
    <row r="660" spans="1:1" ht="15.5">
      <c r="A660" s="177"/>
    </row>
    <row r="661" spans="1:1" ht="15.5">
      <c r="A661" s="177"/>
    </row>
    <row r="662" spans="1:1" ht="15.5">
      <c r="A662" s="177"/>
    </row>
    <row r="663" spans="1:1" ht="15.5">
      <c r="A663" s="177"/>
    </row>
    <row r="664" spans="1:1" ht="15.5">
      <c r="A664" s="177"/>
    </row>
    <row r="665" spans="1:1" ht="15.5">
      <c r="A665" s="177"/>
    </row>
    <row r="666" spans="1:1" ht="15.5">
      <c r="A666" s="177"/>
    </row>
    <row r="667" spans="1:1" ht="15.5">
      <c r="A667" s="177"/>
    </row>
    <row r="668" spans="1:1" ht="15.5">
      <c r="A668" s="177"/>
    </row>
    <row r="669" spans="1:1" ht="15.5">
      <c r="A669" s="177"/>
    </row>
    <row r="670" spans="1:1" ht="15.5">
      <c r="A670" s="177"/>
    </row>
    <row r="671" spans="1:1" ht="15.5">
      <c r="A671" s="177"/>
    </row>
    <row r="672" spans="1:1" ht="15.5">
      <c r="A672" s="177"/>
    </row>
    <row r="673" spans="1:1" ht="15.5">
      <c r="A673" s="177"/>
    </row>
    <row r="674" spans="1:1" ht="15.5">
      <c r="A674" s="177"/>
    </row>
    <row r="675" spans="1:1" ht="15.5">
      <c r="A675" s="177"/>
    </row>
    <row r="676" spans="1:1" ht="15.5">
      <c r="A676" s="177"/>
    </row>
    <row r="677" spans="1:1" ht="15.5">
      <c r="A677" s="177"/>
    </row>
    <row r="678" spans="1:1" ht="15.5">
      <c r="A678" s="177"/>
    </row>
    <row r="679" spans="1:1" ht="15.5">
      <c r="A679" s="177"/>
    </row>
    <row r="680" spans="1:1" ht="15.5">
      <c r="A680" s="177"/>
    </row>
    <row r="681" spans="1:1" ht="15.5">
      <c r="A681" s="177"/>
    </row>
    <row r="682" spans="1:1" ht="15.5">
      <c r="A682" s="177"/>
    </row>
    <row r="683" spans="1:1" ht="15.5">
      <c r="A683" s="177"/>
    </row>
    <row r="684" spans="1:1" ht="15.5">
      <c r="A684" s="177"/>
    </row>
    <row r="685" spans="1:1" ht="15.5">
      <c r="A685" s="177"/>
    </row>
    <row r="686" spans="1:1" ht="15.5">
      <c r="A686" s="177"/>
    </row>
    <row r="687" spans="1:1" ht="15.5">
      <c r="A687" s="177"/>
    </row>
    <row r="688" spans="1:1" ht="15.5">
      <c r="A688" s="177"/>
    </row>
    <row r="689" spans="1:1" ht="15.5">
      <c r="A689" s="177"/>
    </row>
    <row r="690" spans="1:1" ht="15.5">
      <c r="A690" s="177"/>
    </row>
    <row r="691" spans="1:1" ht="15.5">
      <c r="A691" s="177"/>
    </row>
    <row r="692" spans="1:1" ht="15.5">
      <c r="A692" s="177"/>
    </row>
    <row r="693" spans="1:1" ht="15.5">
      <c r="A693" s="177"/>
    </row>
    <row r="694" spans="1:1" ht="15.5">
      <c r="A694" s="177"/>
    </row>
    <row r="695" spans="1:1" ht="15.5">
      <c r="A695" s="177"/>
    </row>
    <row r="696" spans="1:1" ht="15.5">
      <c r="A696" s="177"/>
    </row>
    <row r="697" spans="1:1" ht="15.5">
      <c r="A697" s="177"/>
    </row>
    <row r="698" spans="1:1" ht="15.5">
      <c r="A698" s="177"/>
    </row>
    <row r="699" spans="1:1" ht="15.5">
      <c r="A699" s="177"/>
    </row>
    <row r="700" spans="1:1" ht="15.5">
      <c r="A700" s="177"/>
    </row>
    <row r="701" spans="1:1" ht="15.5">
      <c r="A701" s="177"/>
    </row>
    <row r="702" spans="1:1" ht="15.5">
      <c r="A702" s="177"/>
    </row>
    <row r="703" spans="1:1" ht="15.5">
      <c r="A703" s="177"/>
    </row>
    <row r="704" spans="1:1" ht="15.5">
      <c r="A704" s="177"/>
    </row>
    <row r="705" spans="1:1" ht="15.5">
      <c r="A705" s="177"/>
    </row>
    <row r="706" spans="1:1" ht="15.5">
      <c r="A706" s="177"/>
    </row>
    <row r="707" spans="1:1" ht="15.5">
      <c r="A707" s="177"/>
    </row>
    <row r="708" spans="1:1" ht="15.5">
      <c r="A708" s="177"/>
    </row>
    <row r="709" spans="1:1" ht="15.5">
      <c r="A709" s="177"/>
    </row>
    <row r="710" spans="1:1" ht="15.5">
      <c r="A710" s="177"/>
    </row>
    <row r="711" spans="1:1" ht="15.5">
      <c r="A711" s="177"/>
    </row>
    <row r="712" spans="1:1" ht="15.5">
      <c r="A712" s="177"/>
    </row>
    <row r="713" spans="1:1" ht="15.5">
      <c r="A713" s="177"/>
    </row>
    <row r="714" spans="1:1" ht="15.5">
      <c r="A714" s="177"/>
    </row>
    <row r="715" spans="1:1" ht="15.5">
      <c r="A715" s="177"/>
    </row>
    <row r="716" spans="1:1" ht="15.5">
      <c r="A716" s="177"/>
    </row>
    <row r="717" spans="1:1" ht="15.5">
      <c r="A717" s="177"/>
    </row>
    <row r="718" spans="1:1" ht="15.5">
      <c r="A718" s="177"/>
    </row>
    <row r="719" spans="1:1" ht="15.5">
      <c r="A719" s="177"/>
    </row>
    <row r="720" spans="1:1" ht="15.5">
      <c r="A720" s="177"/>
    </row>
    <row r="721" spans="1:1" ht="15.5">
      <c r="A721" s="177"/>
    </row>
    <row r="722" spans="1:1" ht="15.5">
      <c r="A722" s="177"/>
    </row>
    <row r="723" spans="1:1" ht="15.5">
      <c r="A723" s="177"/>
    </row>
    <row r="724" spans="1:1" ht="15.5">
      <c r="A724" s="177"/>
    </row>
    <row r="725" spans="1:1" ht="15.5">
      <c r="A725" s="177"/>
    </row>
    <row r="726" spans="1:1" ht="15.5">
      <c r="A726" s="177"/>
    </row>
    <row r="727" spans="1:1" ht="15.5">
      <c r="A727" s="177"/>
    </row>
    <row r="728" spans="1:1" ht="15.5">
      <c r="A728" s="177"/>
    </row>
    <row r="729" spans="1:1" ht="15.5">
      <c r="A729" s="177"/>
    </row>
    <row r="730" spans="1:1" ht="15.5">
      <c r="A730" s="177"/>
    </row>
    <row r="731" spans="1:1" ht="15.5">
      <c r="A731" s="177"/>
    </row>
    <row r="732" spans="1:1" ht="15.5">
      <c r="A732" s="177"/>
    </row>
    <row r="733" spans="1:1" ht="15.5">
      <c r="A733" s="177"/>
    </row>
    <row r="734" spans="1:1" ht="15.5">
      <c r="A734" s="177"/>
    </row>
    <row r="735" spans="1:1" ht="15.5">
      <c r="A735" s="177"/>
    </row>
    <row r="736" spans="1:1" ht="15.5">
      <c r="A736" s="177"/>
    </row>
    <row r="737" spans="1:1" ht="15.5">
      <c r="A737" s="177"/>
    </row>
    <row r="738" spans="1:1" ht="15.5">
      <c r="A738" s="177"/>
    </row>
    <row r="739" spans="1:1" ht="15.5">
      <c r="A739" s="177"/>
    </row>
    <row r="740" spans="1:1" ht="15.5">
      <c r="A740" s="177"/>
    </row>
    <row r="741" spans="1:1" ht="15.5">
      <c r="A741" s="177"/>
    </row>
    <row r="742" spans="1:1" ht="15.5">
      <c r="A742" s="177"/>
    </row>
    <row r="743" spans="1:1" ht="15.5">
      <c r="A743" s="177"/>
    </row>
    <row r="744" spans="1:1" ht="15.5">
      <c r="A744" s="177"/>
    </row>
    <row r="745" spans="1:1" ht="15.5">
      <c r="A745" s="177"/>
    </row>
    <row r="746" spans="1:1" ht="15.5">
      <c r="A746" s="177"/>
    </row>
    <row r="747" spans="1:1" ht="15.5">
      <c r="A747" s="177"/>
    </row>
    <row r="748" spans="1:1" ht="15.5">
      <c r="A748" s="177"/>
    </row>
    <row r="749" spans="1:1" ht="15.5">
      <c r="A749" s="177"/>
    </row>
    <row r="750" spans="1:1" ht="15.5">
      <c r="A750" s="177"/>
    </row>
    <row r="751" spans="1:1" ht="15.5">
      <c r="A751" s="177"/>
    </row>
    <row r="752" spans="1:1" ht="15.5">
      <c r="A752" s="177"/>
    </row>
    <row r="753" spans="1:1" ht="15.5">
      <c r="A753" s="177"/>
    </row>
    <row r="754" spans="1:1" ht="15.5">
      <c r="A754" s="177"/>
    </row>
    <row r="755" spans="1:1" ht="15.5">
      <c r="A755" s="177"/>
    </row>
    <row r="756" spans="1:1" ht="15.5">
      <c r="A756" s="177"/>
    </row>
    <row r="757" spans="1:1" ht="15.5">
      <c r="A757" s="177"/>
    </row>
    <row r="758" spans="1:1" ht="15.5">
      <c r="A758" s="177"/>
    </row>
    <row r="759" spans="1:1" ht="15.5">
      <c r="A759" s="177"/>
    </row>
    <row r="760" spans="1:1" ht="15.5">
      <c r="A760" s="177"/>
    </row>
    <row r="761" spans="1:1" ht="15.5">
      <c r="A761" s="177"/>
    </row>
    <row r="762" spans="1:1" ht="15.5">
      <c r="A762" s="177"/>
    </row>
    <row r="763" spans="1:1" ht="15.5">
      <c r="A763" s="177"/>
    </row>
    <row r="764" spans="1:1" ht="15.5">
      <c r="A764" s="177"/>
    </row>
    <row r="765" spans="1:1" ht="15.5">
      <c r="A765" s="177"/>
    </row>
    <row r="766" spans="1:1" ht="15.5">
      <c r="A766" s="177"/>
    </row>
    <row r="767" spans="1:1" ht="15.5">
      <c r="A767" s="177"/>
    </row>
    <row r="768" spans="1:1" ht="15.5">
      <c r="A768" s="177"/>
    </row>
    <row r="769" spans="1:1" ht="15.5">
      <c r="A769" s="177"/>
    </row>
    <row r="770" spans="1:1" ht="15.5">
      <c r="A770" s="177"/>
    </row>
    <row r="771" spans="1:1" ht="15.5">
      <c r="A771" s="177"/>
    </row>
    <row r="772" spans="1:1" ht="15.5">
      <c r="A772" s="177"/>
    </row>
    <row r="773" spans="1:1" ht="15.5">
      <c r="A773" s="177"/>
    </row>
    <row r="774" spans="1:1" ht="15.5">
      <c r="A774" s="177"/>
    </row>
    <row r="775" spans="1:1" ht="15.5">
      <c r="A775" s="177"/>
    </row>
    <row r="776" spans="1:1" ht="15.5">
      <c r="A776" s="177"/>
    </row>
    <row r="777" spans="1:1" ht="15.5">
      <c r="A777" s="177"/>
    </row>
    <row r="778" spans="1:1" ht="15.5">
      <c r="A778" s="177"/>
    </row>
    <row r="779" spans="1:1" ht="15.5">
      <c r="A779" s="177"/>
    </row>
    <row r="780" spans="1:1" ht="15.5">
      <c r="A780" s="177"/>
    </row>
    <row r="781" spans="1:1" ht="15.5">
      <c r="A781" s="177"/>
    </row>
    <row r="782" spans="1:1" ht="15.5">
      <c r="A782" s="177"/>
    </row>
    <row r="783" spans="1:1" ht="15.5">
      <c r="A783" s="177"/>
    </row>
    <row r="784" spans="1:1" ht="15.5">
      <c r="A784" s="177"/>
    </row>
    <row r="785" spans="1:1" ht="15.5">
      <c r="A785" s="177"/>
    </row>
    <row r="786" spans="1:1" ht="15.5">
      <c r="A786" s="177"/>
    </row>
    <row r="787" spans="1:1" ht="15.5">
      <c r="A787" s="177"/>
    </row>
    <row r="788" spans="1:1" ht="15.5">
      <c r="A788" s="177"/>
    </row>
    <row r="789" spans="1:1" ht="15.5">
      <c r="A789" s="177"/>
    </row>
    <row r="790" spans="1:1" ht="15.5">
      <c r="A790" s="177"/>
    </row>
    <row r="791" spans="1:1" ht="15.5">
      <c r="A791" s="177"/>
    </row>
    <row r="792" spans="1:1" ht="15.5">
      <c r="A792" s="177"/>
    </row>
    <row r="793" spans="1:1" ht="15.5">
      <c r="A793" s="177"/>
    </row>
    <row r="794" spans="1:1" ht="15.5">
      <c r="A794" s="177"/>
    </row>
    <row r="795" spans="1:1" ht="15.5">
      <c r="A795" s="177"/>
    </row>
    <row r="796" spans="1:1" ht="15.5">
      <c r="A796" s="177"/>
    </row>
    <row r="797" spans="1:1" ht="15.5">
      <c r="A797" s="177"/>
    </row>
    <row r="798" spans="1:1" ht="15.5">
      <c r="A798" s="177"/>
    </row>
    <row r="799" spans="1:1" ht="15.5">
      <c r="A799" s="177"/>
    </row>
    <row r="800" spans="1:1" ht="15.5">
      <c r="A800" s="177"/>
    </row>
    <row r="801" spans="1:1" ht="15.5">
      <c r="A801" s="177"/>
    </row>
    <row r="802" spans="1:1" ht="15.5">
      <c r="A802" s="177"/>
    </row>
    <row r="803" spans="1:1" ht="15.5">
      <c r="A803" s="177"/>
    </row>
    <row r="804" spans="1:1" ht="15.5">
      <c r="A804" s="177"/>
    </row>
    <row r="805" spans="1:1" ht="15.5">
      <c r="A805" s="177"/>
    </row>
    <row r="806" spans="1:1" ht="15.5">
      <c r="A806" s="177"/>
    </row>
    <row r="807" spans="1:1" ht="15.5">
      <c r="A807" s="177"/>
    </row>
    <row r="808" spans="1:1" ht="15.5">
      <c r="A808" s="177"/>
    </row>
    <row r="809" spans="1:1" ht="15.5">
      <c r="A809" s="177"/>
    </row>
    <row r="810" spans="1:1" ht="15.5">
      <c r="A810" s="177"/>
    </row>
    <row r="811" spans="1:1" ht="15.5">
      <c r="A811" s="177"/>
    </row>
    <row r="812" spans="1:1" ht="15.5">
      <c r="A812" s="177"/>
    </row>
    <row r="813" spans="1:1" ht="15.5">
      <c r="A813" s="177"/>
    </row>
    <row r="814" spans="1:1" ht="15.5">
      <c r="A814" s="177"/>
    </row>
    <row r="815" spans="1:1" ht="15.5">
      <c r="A815" s="177"/>
    </row>
    <row r="816" spans="1:1" ht="15.5">
      <c r="A816" s="177"/>
    </row>
    <row r="817" spans="1:1" ht="15.5">
      <c r="A817" s="177"/>
    </row>
    <row r="818" spans="1:1" ht="15.5">
      <c r="A818" s="177"/>
    </row>
    <row r="819" spans="1:1" ht="15.5">
      <c r="A819" s="177"/>
    </row>
    <row r="820" spans="1:1" ht="15.5">
      <c r="A820" s="177"/>
    </row>
    <row r="821" spans="1:1" ht="15.5">
      <c r="A821" s="177"/>
    </row>
    <row r="822" spans="1:1" ht="15.5">
      <c r="A822" s="177"/>
    </row>
    <row r="823" spans="1:1" ht="15.5">
      <c r="A823" s="177"/>
    </row>
    <row r="824" spans="1:1" ht="15.5">
      <c r="A824" s="177"/>
    </row>
    <row r="825" spans="1:1" ht="15.5">
      <c r="A825" s="177"/>
    </row>
    <row r="826" spans="1:1" ht="15.5">
      <c r="A826" s="177"/>
    </row>
    <row r="827" spans="1:1" ht="15.5">
      <c r="A827" s="177"/>
    </row>
    <row r="828" spans="1:1" ht="15.5">
      <c r="A828" s="177"/>
    </row>
    <row r="829" spans="1:1" ht="15.5">
      <c r="A829" s="177"/>
    </row>
    <row r="830" spans="1:1" ht="15.5">
      <c r="A830" s="177"/>
    </row>
    <row r="831" spans="1:1" ht="15.5">
      <c r="A831" s="177"/>
    </row>
    <row r="832" spans="1:1" ht="15.5">
      <c r="A832" s="177"/>
    </row>
    <row r="833" spans="1:1" ht="15.5">
      <c r="A833" s="177"/>
    </row>
    <row r="834" spans="1:1" ht="15.5">
      <c r="A834" s="177"/>
    </row>
    <row r="835" spans="1:1" ht="15.5">
      <c r="A835" s="177"/>
    </row>
    <row r="836" spans="1:1" ht="15.5">
      <c r="A836" s="177"/>
    </row>
    <row r="837" spans="1:1" ht="15.5">
      <c r="A837" s="177"/>
    </row>
    <row r="838" spans="1:1" ht="15.5">
      <c r="A838" s="177"/>
    </row>
    <row r="839" spans="1:1" ht="15.5">
      <c r="A839" s="177"/>
    </row>
    <row r="840" spans="1:1" ht="15.5">
      <c r="A840" s="177"/>
    </row>
    <row r="841" spans="1:1" ht="15.5">
      <c r="A841" s="177"/>
    </row>
    <row r="842" spans="1:1" ht="15.5">
      <c r="A842" s="177"/>
    </row>
    <row r="843" spans="1:1" ht="15.5">
      <c r="A843" s="177"/>
    </row>
    <row r="844" spans="1:1" ht="15.5">
      <c r="A844" s="177"/>
    </row>
    <row r="845" spans="1:1" ht="15.5">
      <c r="A845" s="177"/>
    </row>
    <row r="846" spans="1:1" ht="15.5">
      <c r="A846" s="177"/>
    </row>
    <row r="847" spans="1:1" ht="15.5">
      <c r="A847" s="177"/>
    </row>
    <row r="848" spans="1:1" ht="15.5">
      <c r="A848" s="177"/>
    </row>
    <row r="849" spans="1:1" ht="15.5">
      <c r="A849" s="177"/>
    </row>
    <row r="850" spans="1:1" ht="15.5">
      <c r="A850" s="177"/>
    </row>
    <row r="851" spans="1:1" ht="15.5">
      <c r="A851" s="177"/>
    </row>
    <row r="852" spans="1:1" ht="15.5">
      <c r="A852" s="177"/>
    </row>
    <row r="853" spans="1:1" ht="15.5">
      <c r="A853" s="177"/>
    </row>
    <row r="854" spans="1:1" ht="15.5">
      <c r="A854" s="177"/>
    </row>
    <row r="855" spans="1:1" ht="15.5">
      <c r="A855" s="177"/>
    </row>
    <row r="856" spans="1:1" ht="15.5">
      <c r="A856" s="177"/>
    </row>
    <row r="857" spans="1:1" ht="15.5">
      <c r="A857" s="177"/>
    </row>
    <row r="858" spans="1:1" ht="15.5">
      <c r="A858" s="177"/>
    </row>
    <row r="859" spans="1:1" ht="15.5">
      <c r="A859" s="177"/>
    </row>
    <row r="860" spans="1:1" ht="15.5">
      <c r="A860" s="177"/>
    </row>
    <row r="861" spans="1:1" ht="15.5">
      <c r="A861" s="177"/>
    </row>
    <row r="862" spans="1:1" ht="15.5">
      <c r="A862" s="177"/>
    </row>
    <row r="863" spans="1:1" ht="15.5">
      <c r="A863" s="177"/>
    </row>
    <row r="864" spans="1:1" ht="15.5">
      <c r="A864" s="177"/>
    </row>
    <row r="865" spans="1:1" ht="15.5">
      <c r="A865" s="177"/>
    </row>
    <row r="866" spans="1:1" ht="15.5">
      <c r="A866" s="177"/>
    </row>
    <row r="867" spans="1:1" ht="15.5">
      <c r="A867" s="177"/>
    </row>
    <row r="868" spans="1:1" ht="15.5">
      <c r="A868" s="177"/>
    </row>
    <row r="869" spans="1:1" ht="15.5">
      <c r="A869" s="177"/>
    </row>
    <row r="870" spans="1:1" ht="15.5">
      <c r="A870" s="177"/>
    </row>
    <row r="871" spans="1:1" ht="15.5">
      <c r="A871" s="177"/>
    </row>
    <row r="872" spans="1:1" ht="15.5">
      <c r="A872" s="177"/>
    </row>
    <row r="873" spans="1:1" ht="15.5">
      <c r="A873" s="177"/>
    </row>
    <row r="874" spans="1:1" ht="15.5">
      <c r="A874" s="177"/>
    </row>
    <row r="875" spans="1:1" ht="15.5">
      <c r="A875" s="177"/>
    </row>
    <row r="876" spans="1:1" ht="15.5">
      <c r="A876" s="177"/>
    </row>
    <row r="877" spans="1:1" ht="15.5">
      <c r="A877" s="177"/>
    </row>
    <row r="878" spans="1:1" ht="15.5">
      <c r="A878" s="177"/>
    </row>
    <row r="879" spans="1:1" ht="15.5">
      <c r="A879" s="177"/>
    </row>
    <row r="880" spans="1:1" ht="15.5">
      <c r="A880" s="177"/>
    </row>
    <row r="881" spans="1:1" ht="15.5">
      <c r="A881" s="177"/>
    </row>
    <row r="882" spans="1:1" ht="15.5">
      <c r="A882" s="177"/>
    </row>
    <row r="883" spans="1:1" ht="15.5">
      <c r="A883" s="177"/>
    </row>
    <row r="884" spans="1:1" ht="15.5">
      <c r="A884" s="177"/>
    </row>
    <row r="885" spans="1:1" ht="15.5">
      <c r="A885" s="177"/>
    </row>
    <row r="886" spans="1:1" ht="15.5">
      <c r="A886" s="177"/>
    </row>
    <row r="887" spans="1:1" ht="15.5">
      <c r="A887" s="177"/>
    </row>
    <row r="888" spans="1:1" ht="15.5">
      <c r="A888" s="177"/>
    </row>
    <row r="889" spans="1:1" ht="15.5">
      <c r="A889" s="177"/>
    </row>
    <row r="890" spans="1:1" ht="15.5">
      <c r="A890" s="177"/>
    </row>
    <row r="891" spans="1:1" ht="15.5">
      <c r="A891" s="177"/>
    </row>
    <row r="892" spans="1:1" ht="15.5">
      <c r="A892" s="177"/>
    </row>
    <row r="893" spans="1:1" ht="15.5">
      <c r="A893" s="177"/>
    </row>
    <row r="894" spans="1:1" ht="15.5">
      <c r="A894" s="177"/>
    </row>
    <row r="895" spans="1:1" ht="15.5">
      <c r="A895" s="177"/>
    </row>
    <row r="896" spans="1:1" ht="15.5">
      <c r="A896" s="177"/>
    </row>
    <row r="897" spans="1:1" ht="15.5">
      <c r="A897" s="177"/>
    </row>
    <row r="898" spans="1:1" ht="15.5">
      <c r="A898" s="177"/>
    </row>
    <row r="899" spans="1:1" ht="15.5">
      <c r="A899" s="177"/>
    </row>
    <row r="900" spans="1:1" ht="15.5">
      <c r="A900" s="177"/>
    </row>
    <row r="901" spans="1:1" ht="15.5">
      <c r="A901" s="177"/>
    </row>
    <row r="902" spans="1:1" ht="15.5">
      <c r="A902" s="177"/>
    </row>
    <row r="903" spans="1:1" ht="15.5">
      <c r="A903" s="177"/>
    </row>
    <row r="904" spans="1:1" ht="15.5">
      <c r="A904" s="177"/>
    </row>
    <row r="905" spans="1:1" ht="15.5">
      <c r="A905" s="177"/>
    </row>
    <row r="906" spans="1:1" ht="15.5">
      <c r="A906" s="177"/>
    </row>
    <row r="907" spans="1:1" ht="15.5">
      <c r="A907" s="177"/>
    </row>
    <row r="908" spans="1:1" ht="15.5">
      <c r="A908" s="177"/>
    </row>
    <row r="909" spans="1:1" ht="15.5">
      <c r="A909" s="177"/>
    </row>
    <row r="910" spans="1:1" ht="15.5">
      <c r="A910" s="177"/>
    </row>
    <row r="911" spans="1:1" ht="15.5">
      <c r="A911" s="177"/>
    </row>
    <row r="912" spans="1:1" ht="15.5">
      <c r="A912" s="177"/>
    </row>
    <row r="913" spans="1:1" ht="15.5">
      <c r="A913" s="177"/>
    </row>
    <row r="914" spans="1:1" ht="15.5">
      <c r="A914" s="177"/>
    </row>
    <row r="915" spans="1:1" ht="15.5">
      <c r="A915" s="177"/>
    </row>
    <row r="916" spans="1:1" ht="15.5">
      <c r="A916" s="177"/>
    </row>
    <row r="917" spans="1:1" ht="15.5">
      <c r="A917" s="177"/>
    </row>
    <row r="918" spans="1:1" ht="15.5">
      <c r="A918" s="177"/>
    </row>
    <row r="919" spans="1:1" ht="15.5">
      <c r="A919" s="177"/>
    </row>
    <row r="920" spans="1:1" ht="15.5">
      <c r="A920" s="177"/>
    </row>
    <row r="921" spans="1:1" ht="15.5">
      <c r="A921" s="177"/>
    </row>
    <row r="922" spans="1:1" ht="15.5">
      <c r="A922" s="177"/>
    </row>
    <row r="923" spans="1:1" ht="15.5">
      <c r="A923" s="177"/>
    </row>
    <row r="924" spans="1:1" ht="15.5">
      <c r="A924" s="177"/>
    </row>
    <row r="925" spans="1:1" ht="15.5">
      <c r="A925" s="177"/>
    </row>
    <row r="926" spans="1:1" ht="15.5">
      <c r="A926" s="177"/>
    </row>
    <row r="927" spans="1:1" ht="15.5">
      <c r="A927" s="177"/>
    </row>
    <row r="928" spans="1:1" ht="15.5">
      <c r="A928" s="177"/>
    </row>
    <row r="929" spans="1:1" ht="15.5">
      <c r="A929" s="177"/>
    </row>
    <row r="930" spans="1:1" ht="15.5">
      <c r="A930" s="177"/>
    </row>
    <row r="931" spans="1:1" ht="15.5">
      <c r="A931" s="177"/>
    </row>
    <row r="932" spans="1:1" ht="15.5">
      <c r="A932" s="177"/>
    </row>
    <row r="933" spans="1:1" ht="15.5">
      <c r="A933" s="177"/>
    </row>
    <row r="934" spans="1:1" ht="15.5">
      <c r="A934" s="177"/>
    </row>
    <row r="935" spans="1:1" ht="15.5">
      <c r="A935" s="177"/>
    </row>
    <row r="936" spans="1:1" ht="15.5">
      <c r="A936" s="177"/>
    </row>
    <row r="937" spans="1:1" ht="15.5">
      <c r="A937" s="177"/>
    </row>
    <row r="938" spans="1:1" ht="15.5">
      <c r="A938" s="177"/>
    </row>
    <row r="939" spans="1:1" ht="15.5">
      <c r="A939" s="177"/>
    </row>
    <row r="940" spans="1:1" ht="15.5">
      <c r="A940" s="177"/>
    </row>
    <row r="941" spans="1:1" ht="15.5">
      <c r="A941" s="177"/>
    </row>
    <row r="942" spans="1:1" ht="15.5">
      <c r="A942" s="177"/>
    </row>
    <row r="943" spans="1:1" ht="15.5">
      <c r="A943" s="177"/>
    </row>
    <row r="944" spans="1:1" ht="15.5">
      <c r="A944" s="177"/>
    </row>
    <row r="945" spans="1:1" ht="15.5">
      <c r="A945" s="177"/>
    </row>
    <row r="946" spans="1:1" ht="15.5">
      <c r="A946" s="177"/>
    </row>
    <row r="947" spans="1:1" ht="15.5">
      <c r="A947" s="177"/>
    </row>
    <row r="948" spans="1:1" ht="15.5">
      <c r="A948" s="177"/>
    </row>
    <row r="949" spans="1:1" ht="15.5">
      <c r="A949" s="177"/>
    </row>
    <row r="950" spans="1:1" ht="15.5">
      <c r="A950" s="177"/>
    </row>
    <row r="951" spans="1:1" ht="15.5">
      <c r="A951" s="177"/>
    </row>
    <row r="952" spans="1:1" ht="15.5">
      <c r="A952" s="177"/>
    </row>
    <row r="953" spans="1:1" ht="15.5">
      <c r="A953" s="177"/>
    </row>
    <row r="954" spans="1:1" ht="15.5">
      <c r="A954" s="177"/>
    </row>
    <row r="955" spans="1:1" ht="15.5">
      <c r="A955" s="177"/>
    </row>
    <row r="956" spans="1:1" ht="15.5">
      <c r="A956" s="177"/>
    </row>
    <row r="957" spans="1:1" ht="15.5">
      <c r="A957" s="177"/>
    </row>
    <row r="958" spans="1:1" ht="15.5">
      <c r="A958" s="177"/>
    </row>
    <row r="959" spans="1:1" ht="15.5">
      <c r="A959" s="177"/>
    </row>
    <row r="960" spans="1:1" ht="15.5">
      <c r="A960" s="177"/>
    </row>
    <row r="961" spans="1:1" ht="15.5">
      <c r="A961" s="177"/>
    </row>
    <row r="962" spans="1:1" ht="15.5">
      <c r="A962" s="177"/>
    </row>
    <row r="963" spans="1:1" ht="15.5">
      <c r="A963" s="177"/>
    </row>
    <row r="964" spans="1:1" ht="15.5">
      <c r="A964" s="177"/>
    </row>
    <row r="965" spans="1:1" ht="15.5">
      <c r="A965" s="177"/>
    </row>
    <row r="966" spans="1:1" ht="15.5">
      <c r="A966" s="177"/>
    </row>
    <row r="967" spans="1:1" ht="15.5">
      <c r="A967" s="177"/>
    </row>
    <row r="968" spans="1:1" ht="15.5">
      <c r="A968" s="177"/>
    </row>
    <row r="969" spans="1:1" ht="15.5">
      <c r="A969" s="177"/>
    </row>
    <row r="970" spans="1:1" ht="15.5">
      <c r="A970" s="177"/>
    </row>
    <row r="971" spans="1:1" ht="15.5">
      <c r="A971" s="177"/>
    </row>
    <row r="972" spans="1:1" ht="15.5">
      <c r="A972" s="177"/>
    </row>
    <row r="973" spans="1:1" ht="15.5">
      <c r="A973" s="177"/>
    </row>
    <row r="974" spans="1:1" ht="15.5">
      <c r="A974" s="177"/>
    </row>
    <row r="975" spans="1:1" ht="15.5">
      <c r="A975" s="177"/>
    </row>
    <row r="976" spans="1:1" ht="15.5">
      <c r="A976" s="177"/>
    </row>
    <row r="977" spans="1:1" ht="15.5">
      <c r="A977" s="177"/>
    </row>
    <row r="978" spans="1:1" ht="15.5">
      <c r="A978" s="177"/>
    </row>
    <row r="979" spans="1:1" ht="15.5">
      <c r="A979" s="177"/>
    </row>
    <row r="980" spans="1:1" ht="15.5">
      <c r="A980" s="177"/>
    </row>
    <row r="981" spans="1:1" ht="15.5">
      <c r="A981" s="177"/>
    </row>
    <row r="982" spans="1:1" ht="15.5">
      <c r="A982" s="177"/>
    </row>
    <row r="983" spans="1:1" ht="15.5">
      <c r="A983" s="177"/>
    </row>
    <row r="984" spans="1:1" ht="15.5">
      <c r="A984" s="177"/>
    </row>
    <row r="985" spans="1:1" ht="15.5">
      <c r="A985" s="177"/>
    </row>
    <row r="986" spans="1:1" ht="15.5">
      <c r="A986" s="177"/>
    </row>
    <row r="987" spans="1:1" ht="15.5">
      <c r="A987" s="177"/>
    </row>
    <row r="988" spans="1:1" ht="15.5">
      <c r="A988" s="177"/>
    </row>
    <row r="989" spans="1:1" ht="15.5">
      <c r="A989" s="177"/>
    </row>
    <row r="990" spans="1:1" ht="15.5">
      <c r="A990" s="177"/>
    </row>
    <row r="991" spans="1:1" ht="15.5">
      <c r="A991" s="177"/>
    </row>
    <row r="992" spans="1:1" ht="15.5">
      <c r="A992" s="177"/>
    </row>
    <row r="993" spans="1:1" ht="15.5">
      <c r="A993" s="177"/>
    </row>
    <row r="994" spans="1:1" ht="15.5">
      <c r="A994" s="177"/>
    </row>
    <row r="995" spans="1:1" ht="15.5">
      <c r="A995" s="177"/>
    </row>
    <row r="996" spans="1:1" ht="15.5">
      <c r="A996" s="177"/>
    </row>
    <row r="997" spans="1:1" ht="15.5">
      <c r="A997" s="177"/>
    </row>
    <row r="998" spans="1:1" ht="15.5">
      <c r="A998" s="177"/>
    </row>
    <row r="999" spans="1:1" ht="15.5">
      <c r="A999" s="177"/>
    </row>
    <row r="1000" spans="1:1" ht="15.5">
      <c r="A1000" s="177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08"/>
  <sheetViews>
    <sheetView tabSelected="1" zoomScale="70" zoomScaleNormal="70" workbookViewId="0">
      <selection activeCell="D25" sqref="D25"/>
    </sheetView>
  </sheetViews>
  <sheetFormatPr defaultColWidth="11.25" defaultRowHeight="15" customHeight="1"/>
  <cols>
    <col min="1" max="1" width="10.58203125" style="1" customWidth="1"/>
    <col min="2" max="2" width="13.75" style="1" customWidth="1"/>
    <col min="3" max="3" width="12.75" style="1" customWidth="1"/>
    <col min="4" max="4" width="12.4140625" style="1" customWidth="1"/>
    <col min="5" max="7" width="12.75" style="1" customWidth="1"/>
    <col min="8" max="9" width="10.9140625" style="1" customWidth="1"/>
    <col min="10" max="10" width="9.75" style="1" customWidth="1"/>
    <col min="11" max="11" width="12.58203125" style="1" customWidth="1"/>
    <col min="12" max="12" width="10.25" style="1" customWidth="1"/>
    <col min="13" max="14" width="8.58203125" style="1" customWidth="1"/>
    <col min="15" max="15" width="10.58203125" style="1" customWidth="1"/>
    <col min="16" max="26" width="8.58203125" style="1" customWidth="1"/>
    <col min="27" max="16384" width="11.25" style="1"/>
  </cols>
  <sheetData>
    <row r="1" spans="1:15" ht="31">
      <c r="A1" s="185">
        <v>46023</v>
      </c>
      <c r="B1" s="13" t="s">
        <v>1</v>
      </c>
      <c r="C1" s="186" t="s">
        <v>121</v>
      </c>
      <c r="D1" s="186" t="s">
        <v>122</v>
      </c>
      <c r="E1" s="186" t="s">
        <v>123</v>
      </c>
      <c r="F1" s="186" t="s">
        <v>124</v>
      </c>
      <c r="G1" s="186" t="s">
        <v>9</v>
      </c>
      <c r="H1" s="186" t="s">
        <v>125</v>
      </c>
      <c r="I1" s="186" t="s">
        <v>126</v>
      </c>
      <c r="J1" s="186" t="s">
        <v>127</v>
      </c>
      <c r="K1" s="186" t="s">
        <v>128</v>
      </c>
      <c r="L1" s="187" t="s">
        <v>129</v>
      </c>
      <c r="M1" s="188" t="s">
        <v>130</v>
      </c>
      <c r="N1" s="189" t="s">
        <v>131</v>
      </c>
      <c r="O1" s="14" t="s">
        <v>132</v>
      </c>
    </row>
    <row r="2" spans="1:15" ht="15" customHeight="1">
      <c r="A2" s="80"/>
      <c r="B2" s="190"/>
      <c r="C2" s="191"/>
      <c r="D2" s="191"/>
      <c r="E2" s="191"/>
      <c r="F2" s="191"/>
      <c r="G2" s="191"/>
      <c r="H2" s="191"/>
      <c r="I2" s="191"/>
      <c r="J2" s="191"/>
      <c r="K2" s="191"/>
      <c r="L2" s="192"/>
      <c r="M2" s="193"/>
      <c r="N2" s="194"/>
      <c r="O2" s="30"/>
    </row>
    <row r="3" spans="1:15" ht="15" customHeight="1">
      <c r="A3" s="80"/>
      <c r="B3" s="190" t="s">
        <v>35</v>
      </c>
      <c r="C3" s="195">
        <v>0</v>
      </c>
      <c r="D3" s="195">
        <v>0</v>
      </c>
      <c r="E3" s="195">
        <f t="shared" ref="E3:E9" si="0">C3-D3</f>
        <v>0</v>
      </c>
      <c r="F3" s="34" t="e">
        <f t="shared" ref="F3:F9" si="1">E3%/D3*100</f>
        <v>#DIV/0!</v>
      </c>
      <c r="G3" s="196">
        <v>0</v>
      </c>
      <c r="H3" s="191">
        <v>0</v>
      </c>
      <c r="I3" s="39" t="e">
        <f t="shared" ref="I3:I9" si="2">H3%/D3*100</f>
        <v>#DIV/0!</v>
      </c>
      <c r="J3" s="195">
        <v>0</v>
      </c>
      <c r="K3" s="191">
        <f t="shared" ref="K3:K9" si="3">J3*11.5</f>
        <v>0</v>
      </c>
      <c r="L3" s="40" t="e">
        <f t="shared" ref="L3:L9" si="4">K3%/D3*100</f>
        <v>#DIV/0!</v>
      </c>
      <c r="M3" s="193"/>
      <c r="N3" s="197" t="e">
        <f t="shared" ref="N3:N9" si="5">I3+L3</f>
        <v>#DIV/0!</v>
      </c>
      <c r="O3" s="43">
        <v>0</v>
      </c>
    </row>
    <row r="4" spans="1:15" ht="15" customHeight="1">
      <c r="A4" s="80"/>
      <c r="B4" s="190" t="s">
        <v>36</v>
      </c>
      <c r="C4" s="195">
        <v>0</v>
      </c>
      <c r="D4" s="195">
        <v>0</v>
      </c>
      <c r="E4" s="195">
        <f t="shared" si="0"/>
        <v>0</v>
      </c>
      <c r="F4" s="34" t="e">
        <f t="shared" si="1"/>
        <v>#DIV/0!</v>
      </c>
      <c r="G4" s="196">
        <v>0</v>
      </c>
      <c r="H4" s="191">
        <v>0</v>
      </c>
      <c r="I4" s="39" t="e">
        <f t="shared" si="2"/>
        <v>#DIV/0!</v>
      </c>
      <c r="J4" s="195">
        <v>0</v>
      </c>
      <c r="K4" s="191">
        <f t="shared" si="3"/>
        <v>0</v>
      </c>
      <c r="L4" s="40" t="e">
        <f t="shared" si="4"/>
        <v>#DIV/0!</v>
      </c>
      <c r="M4" s="193"/>
      <c r="N4" s="197" t="e">
        <f t="shared" si="5"/>
        <v>#DIV/0!</v>
      </c>
      <c r="O4" s="43">
        <v>0</v>
      </c>
    </row>
    <row r="5" spans="1:15" ht="15" customHeight="1">
      <c r="A5" s="80"/>
      <c r="B5" s="190" t="s">
        <v>133</v>
      </c>
      <c r="C5" s="195">
        <v>0</v>
      </c>
      <c r="D5" s="195">
        <v>0</v>
      </c>
      <c r="E5" s="195">
        <f t="shared" si="0"/>
        <v>0</v>
      </c>
      <c r="F5" s="34" t="e">
        <f t="shared" si="1"/>
        <v>#DIV/0!</v>
      </c>
      <c r="G5" s="196">
        <v>0</v>
      </c>
      <c r="H5" s="191">
        <v>0</v>
      </c>
      <c r="I5" s="39" t="e">
        <f t="shared" si="2"/>
        <v>#DIV/0!</v>
      </c>
      <c r="J5" s="195">
        <v>0</v>
      </c>
      <c r="K5" s="191">
        <f t="shared" si="3"/>
        <v>0</v>
      </c>
      <c r="L5" s="40" t="e">
        <f t="shared" si="4"/>
        <v>#DIV/0!</v>
      </c>
      <c r="M5" s="193"/>
      <c r="N5" s="197" t="e">
        <f t="shared" si="5"/>
        <v>#DIV/0!</v>
      </c>
      <c r="O5" s="43">
        <v>0</v>
      </c>
    </row>
    <row r="6" spans="1:15" ht="15" customHeight="1">
      <c r="A6" s="80"/>
      <c r="B6" s="190" t="s">
        <v>38</v>
      </c>
      <c r="C6" s="195">
        <v>0</v>
      </c>
      <c r="D6" s="195">
        <v>0</v>
      </c>
      <c r="E6" s="195">
        <f t="shared" si="0"/>
        <v>0</v>
      </c>
      <c r="F6" s="34" t="e">
        <f t="shared" si="1"/>
        <v>#DIV/0!</v>
      </c>
      <c r="G6" s="196">
        <v>0</v>
      </c>
      <c r="H6" s="191">
        <v>0</v>
      </c>
      <c r="I6" s="39" t="e">
        <f t="shared" si="2"/>
        <v>#DIV/0!</v>
      </c>
      <c r="J6" s="195">
        <v>0</v>
      </c>
      <c r="K6" s="191">
        <f t="shared" si="3"/>
        <v>0</v>
      </c>
      <c r="L6" s="40" t="e">
        <f t="shared" si="4"/>
        <v>#DIV/0!</v>
      </c>
      <c r="M6" s="193"/>
      <c r="N6" s="197" t="e">
        <f t="shared" si="5"/>
        <v>#DIV/0!</v>
      </c>
      <c r="O6" s="43">
        <v>0</v>
      </c>
    </row>
    <row r="7" spans="1:15" ht="15" customHeight="1">
      <c r="A7" s="80"/>
      <c r="B7" s="190" t="s">
        <v>40</v>
      </c>
      <c r="C7" s="195">
        <v>0</v>
      </c>
      <c r="D7" s="195">
        <v>0</v>
      </c>
      <c r="E7" s="195">
        <f t="shared" si="0"/>
        <v>0</v>
      </c>
      <c r="F7" s="34" t="e">
        <f t="shared" si="1"/>
        <v>#DIV/0!</v>
      </c>
      <c r="G7" s="196">
        <v>0</v>
      </c>
      <c r="H7" s="191">
        <v>0</v>
      </c>
      <c r="I7" s="39" t="e">
        <f t="shared" si="2"/>
        <v>#DIV/0!</v>
      </c>
      <c r="J7" s="195">
        <v>0</v>
      </c>
      <c r="K7" s="191">
        <f t="shared" si="3"/>
        <v>0</v>
      </c>
      <c r="L7" s="40" t="e">
        <f t="shared" si="4"/>
        <v>#DIV/0!</v>
      </c>
      <c r="M7" s="193"/>
      <c r="N7" s="197" t="e">
        <f t="shared" si="5"/>
        <v>#DIV/0!</v>
      </c>
      <c r="O7" s="43">
        <v>0</v>
      </c>
    </row>
    <row r="8" spans="1:15" ht="15" customHeight="1">
      <c r="A8" s="80"/>
      <c r="B8" s="190" t="s">
        <v>41</v>
      </c>
      <c r="C8" s="195">
        <v>0</v>
      </c>
      <c r="D8" s="195">
        <v>0</v>
      </c>
      <c r="E8" s="195">
        <f t="shared" si="0"/>
        <v>0</v>
      </c>
      <c r="F8" s="34" t="e">
        <f t="shared" si="1"/>
        <v>#DIV/0!</v>
      </c>
      <c r="G8" s="196">
        <v>0</v>
      </c>
      <c r="H8" s="191">
        <v>0</v>
      </c>
      <c r="I8" s="39" t="e">
        <f t="shared" si="2"/>
        <v>#DIV/0!</v>
      </c>
      <c r="J8" s="195">
        <v>0</v>
      </c>
      <c r="K8" s="191">
        <f t="shared" si="3"/>
        <v>0</v>
      </c>
      <c r="L8" s="40" t="e">
        <f t="shared" si="4"/>
        <v>#DIV/0!</v>
      </c>
      <c r="M8" s="193"/>
      <c r="N8" s="197" t="e">
        <f t="shared" si="5"/>
        <v>#DIV/0!</v>
      </c>
      <c r="O8" s="43">
        <v>0</v>
      </c>
    </row>
    <row r="9" spans="1:15" ht="15" customHeight="1">
      <c r="A9" s="80"/>
      <c r="B9" s="190" t="s">
        <v>42</v>
      </c>
      <c r="C9" s="195">
        <v>0</v>
      </c>
      <c r="D9" s="195">
        <v>0</v>
      </c>
      <c r="E9" s="195">
        <f t="shared" si="0"/>
        <v>0</v>
      </c>
      <c r="F9" s="34" t="e">
        <f t="shared" si="1"/>
        <v>#DIV/0!</v>
      </c>
      <c r="G9" s="196">
        <v>0</v>
      </c>
      <c r="H9" s="191">
        <v>0</v>
      </c>
      <c r="I9" s="39" t="e">
        <f t="shared" si="2"/>
        <v>#DIV/0!</v>
      </c>
      <c r="J9" s="195">
        <v>0</v>
      </c>
      <c r="K9" s="191">
        <f t="shared" si="3"/>
        <v>0</v>
      </c>
      <c r="L9" s="40" t="e">
        <f t="shared" si="4"/>
        <v>#DIV/0!</v>
      </c>
      <c r="M9" s="198">
        <v>0</v>
      </c>
      <c r="N9" s="197" t="e">
        <f t="shared" si="5"/>
        <v>#DIV/0!</v>
      </c>
      <c r="O9" s="43">
        <v>0</v>
      </c>
    </row>
    <row r="10" spans="1:15" ht="15" customHeight="1">
      <c r="A10" s="80"/>
      <c r="B10" s="190"/>
      <c r="C10" s="191"/>
      <c r="D10" s="191"/>
      <c r="E10" s="191"/>
      <c r="F10" s="191"/>
      <c r="G10" s="191"/>
      <c r="H10" s="191"/>
      <c r="I10" s="191"/>
      <c r="J10" s="191"/>
      <c r="K10" s="191"/>
      <c r="L10" s="192"/>
      <c r="M10" s="193"/>
      <c r="N10" s="197"/>
      <c r="O10" s="43"/>
    </row>
    <row r="11" spans="1:15" ht="15.75" customHeight="1" thickBot="1">
      <c r="A11" s="80"/>
      <c r="B11" s="199" t="s">
        <v>45</v>
      </c>
      <c r="C11" s="200">
        <f t="shared" ref="C11:D11" si="6">SUM(C3:C10)</f>
        <v>0</v>
      </c>
      <c r="D11" s="200">
        <f t="shared" si="6"/>
        <v>0</v>
      </c>
      <c r="E11" s="200">
        <f t="shared" ref="E11:E15" si="7">C11-D11</f>
        <v>0</v>
      </c>
      <c r="F11" s="34" t="e">
        <f t="shared" ref="F11:F15" si="8">E11%/D11*100</f>
        <v>#DIV/0!</v>
      </c>
      <c r="G11" s="200">
        <f>SUM(G3:G10)</f>
        <v>0</v>
      </c>
      <c r="H11" s="201">
        <f>SUM(H3:H9)</f>
        <v>0</v>
      </c>
      <c r="I11" s="202" t="e">
        <f t="shared" ref="I11:I15" si="9">H11%/D11*100</f>
        <v>#DIV/0!</v>
      </c>
      <c r="J11" s="200">
        <f>SUM(J3:J10)</f>
        <v>0</v>
      </c>
      <c r="K11" s="201">
        <f t="shared" ref="K11:K15" si="10">J11*11.5</f>
        <v>0</v>
      </c>
      <c r="L11" s="203" t="e">
        <f t="shared" ref="L11:L15" si="11">K11%/D11*100</f>
        <v>#DIV/0!</v>
      </c>
      <c r="M11" s="204"/>
      <c r="N11" s="205" t="e">
        <f t="shared" ref="N11:N15" si="12">I11+L11</f>
        <v>#DIV/0!</v>
      </c>
      <c r="O11" s="63"/>
    </row>
    <row r="12" spans="1:15" ht="15.5">
      <c r="A12" s="80"/>
      <c r="B12" s="206" t="s">
        <v>39</v>
      </c>
      <c r="C12" s="207">
        <v>0</v>
      </c>
      <c r="D12" s="207">
        <v>0</v>
      </c>
      <c r="E12" s="207">
        <f t="shared" si="7"/>
        <v>0</v>
      </c>
      <c r="F12" s="34" t="e">
        <f t="shared" si="8"/>
        <v>#DIV/0!</v>
      </c>
      <c r="G12" s="208">
        <v>0</v>
      </c>
      <c r="H12" s="209">
        <v>0</v>
      </c>
      <c r="I12" s="210" t="e">
        <f t="shared" si="9"/>
        <v>#DIV/0!</v>
      </c>
      <c r="J12" s="207">
        <v>0</v>
      </c>
      <c r="K12" s="209">
        <f t="shared" si="10"/>
        <v>0</v>
      </c>
      <c r="L12" s="211" t="e">
        <f t="shared" si="11"/>
        <v>#DIV/0!</v>
      </c>
      <c r="M12" s="212"/>
      <c r="N12" s="213" t="e">
        <f t="shared" si="12"/>
        <v>#DIV/0!</v>
      </c>
      <c r="O12" s="214">
        <v>0</v>
      </c>
    </row>
    <row r="13" spans="1:15" ht="15.5">
      <c r="A13" s="80"/>
      <c r="B13" s="190" t="s">
        <v>134</v>
      </c>
      <c r="C13" s="195">
        <v>0</v>
      </c>
      <c r="D13" s="195">
        <v>0</v>
      </c>
      <c r="E13" s="195">
        <f t="shared" si="7"/>
        <v>0</v>
      </c>
      <c r="F13" s="34" t="e">
        <f t="shared" si="8"/>
        <v>#DIV/0!</v>
      </c>
      <c r="G13" s="196">
        <v>0</v>
      </c>
      <c r="H13" s="191">
        <v>0</v>
      </c>
      <c r="I13" s="34" t="e">
        <f t="shared" si="9"/>
        <v>#DIV/0!</v>
      </c>
      <c r="J13" s="195">
        <v>0</v>
      </c>
      <c r="K13" s="191">
        <f t="shared" si="10"/>
        <v>0</v>
      </c>
      <c r="L13" s="40" t="e">
        <f t="shared" si="11"/>
        <v>#DIV/0!</v>
      </c>
      <c r="M13" s="193"/>
      <c r="N13" s="197" t="e">
        <f t="shared" si="12"/>
        <v>#DIV/0!</v>
      </c>
      <c r="O13" s="43">
        <v>0</v>
      </c>
    </row>
    <row r="14" spans="1:15" ht="16" thickBot="1">
      <c r="A14" s="80"/>
      <c r="B14" s="215" t="s">
        <v>44</v>
      </c>
      <c r="C14" s="216">
        <v>0</v>
      </c>
      <c r="D14" s="216">
        <v>0</v>
      </c>
      <c r="E14" s="216">
        <f t="shared" si="7"/>
        <v>0</v>
      </c>
      <c r="F14" s="34" t="e">
        <f t="shared" si="8"/>
        <v>#DIV/0!</v>
      </c>
      <c r="G14" s="217">
        <v>0</v>
      </c>
      <c r="H14" s="218">
        <v>0</v>
      </c>
      <c r="I14" s="219" t="e">
        <f t="shared" si="9"/>
        <v>#DIV/0!</v>
      </c>
      <c r="J14" s="216">
        <v>0</v>
      </c>
      <c r="K14" s="18">
        <f t="shared" si="10"/>
        <v>0</v>
      </c>
      <c r="L14" s="220" t="e">
        <f t="shared" si="11"/>
        <v>#DIV/0!</v>
      </c>
      <c r="M14" s="193"/>
      <c r="N14" s="197" t="e">
        <f t="shared" si="12"/>
        <v>#DIV/0!</v>
      </c>
      <c r="O14" s="43">
        <v>0</v>
      </c>
    </row>
    <row r="15" spans="1:15" ht="16" thickBot="1">
      <c r="A15" s="221"/>
      <c r="B15" s="222" t="s">
        <v>66</v>
      </c>
      <c r="C15" s="223">
        <f t="shared" ref="C15:D15" si="13">SUM(C11:C14)</f>
        <v>0</v>
      </c>
      <c r="D15" s="223">
        <f t="shared" si="13"/>
        <v>0</v>
      </c>
      <c r="E15" s="223">
        <f t="shared" si="7"/>
        <v>0</v>
      </c>
      <c r="F15" s="224" t="e">
        <f t="shared" si="8"/>
        <v>#DIV/0!</v>
      </c>
      <c r="G15" s="223">
        <f t="shared" ref="G15:H15" si="14">SUM(G11:G14)</f>
        <v>0</v>
      </c>
      <c r="H15" s="223">
        <f t="shared" si="14"/>
        <v>0</v>
      </c>
      <c r="I15" s="224" t="e">
        <f t="shared" si="9"/>
        <v>#DIV/0!</v>
      </c>
      <c r="J15" s="223">
        <f>SUM(J11:J14)</f>
        <v>0</v>
      </c>
      <c r="K15" s="225">
        <f t="shared" si="10"/>
        <v>0</v>
      </c>
      <c r="L15" s="226" t="e">
        <f t="shared" si="11"/>
        <v>#DIV/0!</v>
      </c>
      <c r="M15" s="227"/>
      <c r="N15" s="228" t="e">
        <f t="shared" si="12"/>
        <v>#DIV/0!</v>
      </c>
      <c r="O15" s="229"/>
    </row>
    <row r="16" spans="1:15" ht="16" thickBot="1">
      <c r="B16" s="230"/>
      <c r="C16" s="231"/>
      <c r="D16" s="231"/>
      <c r="E16" s="231"/>
      <c r="F16" s="232"/>
      <c r="G16" s="233"/>
      <c r="H16" s="234"/>
      <c r="I16" s="235"/>
      <c r="J16" s="231"/>
      <c r="K16" s="234"/>
      <c r="L16" s="236"/>
    </row>
    <row r="17" spans="1:15" ht="31">
      <c r="A17" s="185">
        <v>46054</v>
      </c>
      <c r="B17" s="13" t="s">
        <v>1</v>
      </c>
      <c r="C17" s="186" t="s">
        <v>121</v>
      </c>
      <c r="D17" s="186" t="s">
        <v>122</v>
      </c>
      <c r="E17" s="186" t="s">
        <v>123</v>
      </c>
      <c r="F17" s="186" t="s">
        <v>124</v>
      </c>
      <c r="G17" s="186" t="s">
        <v>9</v>
      </c>
      <c r="H17" s="186" t="s">
        <v>125</v>
      </c>
      <c r="I17" s="186" t="s">
        <v>126</v>
      </c>
      <c r="J17" s="186" t="s">
        <v>127</v>
      </c>
      <c r="K17" s="186" t="s">
        <v>128</v>
      </c>
      <c r="L17" s="187" t="s">
        <v>129</v>
      </c>
      <c r="M17" s="188" t="s">
        <v>130</v>
      </c>
      <c r="N17" s="189" t="s">
        <v>131</v>
      </c>
      <c r="O17" s="14" t="s">
        <v>132</v>
      </c>
    </row>
    <row r="18" spans="1:15" ht="15" customHeight="1">
      <c r="A18" s="80"/>
      <c r="B18" s="190"/>
      <c r="C18" s="191"/>
      <c r="D18" s="191"/>
      <c r="E18" s="191"/>
      <c r="F18" s="191"/>
      <c r="G18" s="191"/>
      <c r="H18" s="191"/>
      <c r="I18" s="191"/>
      <c r="J18" s="191"/>
      <c r="K18" s="191"/>
      <c r="L18" s="192"/>
      <c r="M18" s="193"/>
      <c r="N18" s="194"/>
      <c r="O18" s="30"/>
    </row>
    <row r="19" spans="1:15" ht="15" customHeight="1">
      <c r="A19" s="80"/>
      <c r="B19" s="190" t="s">
        <v>35</v>
      </c>
      <c r="C19" s="195">
        <v>0</v>
      </c>
      <c r="D19" s="195">
        <v>0</v>
      </c>
      <c r="E19" s="195">
        <f t="shared" ref="E19:E25" si="15">C19-D19</f>
        <v>0</v>
      </c>
      <c r="F19" s="34" t="e">
        <f t="shared" ref="F19:F25" si="16">E19%/D19*100</f>
        <v>#DIV/0!</v>
      </c>
      <c r="G19" s="196">
        <v>0</v>
      </c>
      <c r="H19" s="191">
        <v>0</v>
      </c>
      <c r="I19" s="39" t="e">
        <f t="shared" ref="I19:I25" si="17">H19%/D19*100</f>
        <v>#DIV/0!</v>
      </c>
      <c r="J19" s="195">
        <v>0</v>
      </c>
      <c r="K19" s="191">
        <f t="shared" ref="K19:K25" si="18">J19*11.5</f>
        <v>0</v>
      </c>
      <c r="L19" s="40" t="e">
        <f t="shared" ref="L19:L25" si="19">K19%/D19*100</f>
        <v>#DIV/0!</v>
      </c>
      <c r="M19" s="193"/>
      <c r="N19" s="197" t="e">
        <f t="shared" ref="N19:N25" si="20">I19+L19</f>
        <v>#DIV/0!</v>
      </c>
      <c r="O19" s="43">
        <v>0</v>
      </c>
    </row>
    <row r="20" spans="1:15" ht="15" customHeight="1">
      <c r="A20" s="80"/>
      <c r="B20" s="190" t="s">
        <v>36</v>
      </c>
      <c r="C20" s="195">
        <v>0</v>
      </c>
      <c r="D20" s="195">
        <v>0</v>
      </c>
      <c r="E20" s="195">
        <f t="shared" si="15"/>
        <v>0</v>
      </c>
      <c r="F20" s="34" t="e">
        <f t="shared" si="16"/>
        <v>#DIV/0!</v>
      </c>
      <c r="G20" s="196">
        <v>0</v>
      </c>
      <c r="H20" s="191">
        <v>0</v>
      </c>
      <c r="I20" s="39" t="e">
        <f t="shared" si="17"/>
        <v>#DIV/0!</v>
      </c>
      <c r="J20" s="195">
        <v>0</v>
      </c>
      <c r="K20" s="191">
        <f t="shared" si="18"/>
        <v>0</v>
      </c>
      <c r="L20" s="40" t="e">
        <f t="shared" si="19"/>
        <v>#DIV/0!</v>
      </c>
      <c r="M20" s="193"/>
      <c r="N20" s="197" t="e">
        <f t="shared" si="20"/>
        <v>#DIV/0!</v>
      </c>
      <c r="O20" s="43">
        <v>0</v>
      </c>
    </row>
    <row r="21" spans="1:15" ht="15" customHeight="1">
      <c r="A21" s="80"/>
      <c r="B21" s="190" t="s">
        <v>133</v>
      </c>
      <c r="C21" s="195">
        <v>0</v>
      </c>
      <c r="D21" s="195">
        <v>0</v>
      </c>
      <c r="E21" s="195">
        <f t="shared" si="15"/>
        <v>0</v>
      </c>
      <c r="F21" s="34" t="e">
        <f t="shared" si="16"/>
        <v>#DIV/0!</v>
      </c>
      <c r="G21" s="196">
        <v>0</v>
      </c>
      <c r="H21" s="191">
        <v>0</v>
      </c>
      <c r="I21" s="39" t="e">
        <f t="shared" si="17"/>
        <v>#DIV/0!</v>
      </c>
      <c r="J21" s="195">
        <v>0</v>
      </c>
      <c r="K21" s="191">
        <f t="shared" si="18"/>
        <v>0</v>
      </c>
      <c r="L21" s="40" t="e">
        <f t="shared" si="19"/>
        <v>#DIV/0!</v>
      </c>
      <c r="M21" s="193"/>
      <c r="N21" s="197" t="e">
        <f t="shared" si="20"/>
        <v>#DIV/0!</v>
      </c>
      <c r="O21" s="43">
        <v>0</v>
      </c>
    </row>
    <row r="22" spans="1:15" ht="15" customHeight="1">
      <c r="A22" s="80"/>
      <c r="B22" s="190" t="s">
        <v>38</v>
      </c>
      <c r="C22" s="195">
        <v>0</v>
      </c>
      <c r="D22" s="195">
        <v>0</v>
      </c>
      <c r="E22" s="195">
        <f t="shared" si="15"/>
        <v>0</v>
      </c>
      <c r="F22" s="34" t="e">
        <f t="shared" si="16"/>
        <v>#DIV/0!</v>
      </c>
      <c r="G22" s="196">
        <v>0</v>
      </c>
      <c r="H22" s="191">
        <v>0</v>
      </c>
      <c r="I22" s="39" t="e">
        <f t="shared" si="17"/>
        <v>#DIV/0!</v>
      </c>
      <c r="J22" s="195">
        <v>0</v>
      </c>
      <c r="K22" s="191">
        <f t="shared" si="18"/>
        <v>0</v>
      </c>
      <c r="L22" s="40" t="e">
        <f t="shared" si="19"/>
        <v>#DIV/0!</v>
      </c>
      <c r="M22" s="193"/>
      <c r="N22" s="197" t="e">
        <f t="shared" si="20"/>
        <v>#DIV/0!</v>
      </c>
      <c r="O22" s="43">
        <v>0</v>
      </c>
    </row>
    <row r="23" spans="1:15" ht="15" customHeight="1">
      <c r="A23" s="80"/>
      <c r="B23" s="190" t="s">
        <v>40</v>
      </c>
      <c r="C23" s="195">
        <v>0</v>
      </c>
      <c r="D23" s="195">
        <v>0</v>
      </c>
      <c r="E23" s="195">
        <f t="shared" si="15"/>
        <v>0</v>
      </c>
      <c r="F23" s="34" t="e">
        <f t="shared" si="16"/>
        <v>#DIV/0!</v>
      </c>
      <c r="G23" s="196">
        <v>0</v>
      </c>
      <c r="H23" s="191">
        <v>0</v>
      </c>
      <c r="I23" s="39" t="e">
        <f t="shared" si="17"/>
        <v>#DIV/0!</v>
      </c>
      <c r="J23" s="195">
        <v>0</v>
      </c>
      <c r="K23" s="191">
        <f t="shared" si="18"/>
        <v>0</v>
      </c>
      <c r="L23" s="40" t="e">
        <f t="shared" si="19"/>
        <v>#DIV/0!</v>
      </c>
      <c r="M23" s="193"/>
      <c r="N23" s="197" t="e">
        <f t="shared" si="20"/>
        <v>#DIV/0!</v>
      </c>
      <c r="O23" s="43">
        <v>0</v>
      </c>
    </row>
    <row r="24" spans="1:15" ht="15" customHeight="1">
      <c r="A24" s="80"/>
      <c r="B24" s="190" t="s">
        <v>41</v>
      </c>
      <c r="C24" s="195">
        <v>0</v>
      </c>
      <c r="D24" s="195">
        <v>0</v>
      </c>
      <c r="E24" s="195">
        <f t="shared" si="15"/>
        <v>0</v>
      </c>
      <c r="F24" s="34" t="e">
        <f t="shared" si="16"/>
        <v>#DIV/0!</v>
      </c>
      <c r="G24" s="196">
        <v>0</v>
      </c>
      <c r="H24" s="191">
        <v>0</v>
      </c>
      <c r="I24" s="39" t="e">
        <f t="shared" si="17"/>
        <v>#DIV/0!</v>
      </c>
      <c r="J24" s="195">
        <v>0</v>
      </c>
      <c r="K24" s="191">
        <f t="shared" si="18"/>
        <v>0</v>
      </c>
      <c r="L24" s="40" t="e">
        <f t="shared" si="19"/>
        <v>#DIV/0!</v>
      </c>
      <c r="M24" s="193"/>
      <c r="N24" s="197" t="e">
        <f t="shared" si="20"/>
        <v>#DIV/0!</v>
      </c>
      <c r="O24" s="43">
        <v>0</v>
      </c>
    </row>
    <row r="25" spans="1:15" ht="15" customHeight="1">
      <c r="A25" s="80"/>
      <c r="B25" s="190" t="s">
        <v>42</v>
      </c>
      <c r="C25" s="195">
        <v>0</v>
      </c>
      <c r="D25" s="195">
        <v>0</v>
      </c>
      <c r="E25" s="195">
        <f t="shared" si="15"/>
        <v>0</v>
      </c>
      <c r="F25" s="34" t="e">
        <f t="shared" si="16"/>
        <v>#DIV/0!</v>
      </c>
      <c r="G25" s="196">
        <v>0</v>
      </c>
      <c r="H25" s="191">
        <v>0</v>
      </c>
      <c r="I25" s="39" t="e">
        <f t="shared" si="17"/>
        <v>#DIV/0!</v>
      </c>
      <c r="J25" s="195">
        <v>0</v>
      </c>
      <c r="K25" s="191">
        <f t="shared" si="18"/>
        <v>0</v>
      </c>
      <c r="L25" s="40" t="e">
        <f t="shared" si="19"/>
        <v>#DIV/0!</v>
      </c>
      <c r="M25" s="198">
        <v>0</v>
      </c>
      <c r="N25" s="197" t="e">
        <f t="shared" si="20"/>
        <v>#DIV/0!</v>
      </c>
      <c r="O25" s="43">
        <v>0</v>
      </c>
    </row>
    <row r="26" spans="1:15" ht="15" customHeight="1">
      <c r="A26" s="80"/>
      <c r="B26" s="190"/>
      <c r="C26" s="191"/>
      <c r="D26" s="191"/>
      <c r="E26" s="191"/>
      <c r="F26" s="191"/>
      <c r="G26" s="191"/>
      <c r="H26" s="191"/>
      <c r="I26" s="191"/>
      <c r="J26" s="191"/>
      <c r="K26" s="191"/>
      <c r="L26" s="192"/>
      <c r="M26" s="193"/>
      <c r="N26" s="197"/>
      <c r="O26" s="43"/>
    </row>
    <row r="27" spans="1:15" ht="15.75" customHeight="1" thickBot="1">
      <c r="A27" s="80"/>
      <c r="B27" s="199" t="s">
        <v>45</v>
      </c>
      <c r="C27" s="200">
        <f t="shared" ref="C27:D27" si="21">SUM(C19:C26)</f>
        <v>0</v>
      </c>
      <c r="D27" s="200">
        <f t="shared" si="21"/>
        <v>0</v>
      </c>
      <c r="E27" s="200">
        <f t="shared" ref="E27:E31" si="22">C27-D27</f>
        <v>0</v>
      </c>
      <c r="F27" s="34" t="e">
        <f t="shared" ref="F27:F31" si="23">E27%/D27*100</f>
        <v>#DIV/0!</v>
      </c>
      <c r="G27" s="200">
        <f>SUM(G19:G26)</f>
        <v>0</v>
      </c>
      <c r="H27" s="201">
        <f>SUM(H19:H25)</f>
        <v>0</v>
      </c>
      <c r="I27" s="202" t="e">
        <f t="shared" ref="I27:I31" si="24">H27%/D27*100</f>
        <v>#DIV/0!</v>
      </c>
      <c r="J27" s="200">
        <f>SUM(J19:J26)</f>
        <v>0</v>
      </c>
      <c r="K27" s="201">
        <f t="shared" ref="K27:K31" si="25">J27*11.5</f>
        <v>0</v>
      </c>
      <c r="L27" s="203" t="e">
        <f t="shared" ref="L27:L31" si="26">K27%/D27*100</f>
        <v>#DIV/0!</v>
      </c>
      <c r="M27" s="204"/>
      <c r="N27" s="205" t="e">
        <f t="shared" ref="N27:N31" si="27">I27+L27</f>
        <v>#DIV/0!</v>
      </c>
      <c r="O27" s="63"/>
    </row>
    <row r="28" spans="1:15" ht="15.5">
      <c r="A28" s="80"/>
      <c r="B28" s="206" t="s">
        <v>39</v>
      </c>
      <c r="C28" s="207">
        <v>0</v>
      </c>
      <c r="D28" s="207">
        <v>0</v>
      </c>
      <c r="E28" s="207">
        <f t="shared" si="22"/>
        <v>0</v>
      </c>
      <c r="F28" s="34" t="e">
        <f t="shared" si="23"/>
        <v>#DIV/0!</v>
      </c>
      <c r="G28" s="208">
        <v>0</v>
      </c>
      <c r="H28" s="209">
        <v>0</v>
      </c>
      <c r="I28" s="210" t="e">
        <f t="shared" si="24"/>
        <v>#DIV/0!</v>
      </c>
      <c r="J28" s="207">
        <v>0</v>
      </c>
      <c r="K28" s="209">
        <f t="shared" si="25"/>
        <v>0</v>
      </c>
      <c r="L28" s="211" t="e">
        <f t="shared" si="26"/>
        <v>#DIV/0!</v>
      </c>
      <c r="M28" s="212"/>
      <c r="N28" s="213" t="e">
        <f t="shared" si="27"/>
        <v>#DIV/0!</v>
      </c>
      <c r="O28" s="214">
        <v>0</v>
      </c>
    </row>
    <row r="29" spans="1:15" ht="15.5">
      <c r="A29" s="80"/>
      <c r="B29" s="190" t="s">
        <v>134</v>
      </c>
      <c r="C29" s="195">
        <v>0</v>
      </c>
      <c r="D29" s="195">
        <v>0</v>
      </c>
      <c r="E29" s="195">
        <f t="shared" si="22"/>
        <v>0</v>
      </c>
      <c r="F29" s="34" t="e">
        <f t="shared" si="23"/>
        <v>#DIV/0!</v>
      </c>
      <c r="G29" s="196">
        <v>0</v>
      </c>
      <c r="H29" s="191">
        <v>0</v>
      </c>
      <c r="I29" s="34" t="e">
        <f t="shared" si="24"/>
        <v>#DIV/0!</v>
      </c>
      <c r="J29" s="195">
        <v>0</v>
      </c>
      <c r="K29" s="191">
        <f t="shared" si="25"/>
        <v>0</v>
      </c>
      <c r="L29" s="40" t="e">
        <f t="shared" si="26"/>
        <v>#DIV/0!</v>
      </c>
      <c r="M29" s="193"/>
      <c r="N29" s="197" t="e">
        <f t="shared" si="27"/>
        <v>#DIV/0!</v>
      </c>
      <c r="O29" s="43">
        <v>0</v>
      </c>
    </row>
    <row r="30" spans="1:15" ht="16" thickBot="1">
      <c r="A30" s="80"/>
      <c r="B30" s="215" t="s">
        <v>44</v>
      </c>
      <c r="C30" s="216">
        <v>0</v>
      </c>
      <c r="D30" s="216">
        <v>0</v>
      </c>
      <c r="E30" s="216">
        <f t="shared" si="22"/>
        <v>0</v>
      </c>
      <c r="F30" s="34" t="e">
        <f t="shared" si="23"/>
        <v>#DIV/0!</v>
      </c>
      <c r="G30" s="217">
        <v>0</v>
      </c>
      <c r="H30" s="218">
        <v>0</v>
      </c>
      <c r="I30" s="219" t="e">
        <f t="shared" si="24"/>
        <v>#DIV/0!</v>
      </c>
      <c r="J30" s="216">
        <v>0</v>
      </c>
      <c r="K30" s="18">
        <f t="shared" si="25"/>
        <v>0</v>
      </c>
      <c r="L30" s="220" t="e">
        <f t="shared" si="26"/>
        <v>#DIV/0!</v>
      </c>
      <c r="M30" s="193"/>
      <c r="N30" s="197" t="e">
        <f t="shared" si="27"/>
        <v>#DIV/0!</v>
      </c>
      <c r="O30" s="43">
        <v>0</v>
      </c>
    </row>
    <row r="31" spans="1:15" ht="16" thickBot="1">
      <c r="A31" s="221"/>
      <c r="B31" s="222" t="s">
        <v>66</v>
      </c>
      <c r="C31" s="223">
        <f t="shared" ref="C31:D31" si="28">SUM(C27:C30)</f>
        <v>0</v>
      </c>
      <c r="D31" s="223">
        <f t="shared" si="28"/>
        <v>0</v>
      </c>
      <c r="E31" s="223">
        <f t="shared" si="22"/>
        <v>0</v>
      </c>
      <c r="F31" s="224" t="e">
        <f t="shared" si="23"/>
        <v>#DIV/0!</v>
      </c>
      <c r="G31" s="223">
        <f t="shared" ref="G31:H31" si="29">SUM(G27:G30)</f>
        <v>0</v>
      </c>
      <c r="H31" s="223">
        <f t="shared" si="29"/>
        <v>0</v>
      </c>
      <c r="I31" s="224" t="e">
        <f t="shared" si="24"/>
        <v>#DIV/0!</v>
      </c>
      <c r="J31" s="223">
        <f>SUM(J27:J30)</f>
        <v>0</v>
      </c>
      <c r="K31" s="225">
        <f t="shared" si="25"/>
        <v>0</v>
      </c>
      <c r="L31" s="226" t="e">
        <f t="shared" si="26"/>
        <v>#DIV/0!</v>
      </c>
      <c r="M31" s="227"/>
      <c r="N31" s="228" t="e">
        <f t="shared" si="27"/>
        <v>#DIV/0!</v>
      </c>
      <c r="O31" s="229"/>
    </row>
    <row r="33" spans="1:15" ht="31">
      <c r="A33" s="185">
        <v>46082</v>
      </c>
      <c r="B33" s="13" t="s">
        <v>1</v>
      </c>
      <c r="C33" s="186" t="s">
        <v>121</v>
      </c>
      <c r="D33" s="186" t="s">
        <v>122</v>
      </c>
      <c r="E33" s="186" t="s">
        <v>123</v>
      </c>
      <c r="F33" s="186" t="s">
        <v>124</v>
      </c>
      <c r="G33" s="186" t="s">
        <v>9</v>
      </c>
      <c r="H33" s="186" t="s">
        <v>125</v>
      </c>
      <c r="I33" s="186" t="s">
        <v>126</v>
      </c>
      <c r="J33" s="186" t="s">
        <v>127</v>
      </c>
      <c r="K33" s="186" t="s">
        <v>128</v>
      </c>
      <c r="L33" s="187" t="s">
        <v>129</v>
      </c>
      <c r="M33" s="188" t="s">
        <v>130</v>
      </c>
      <c r="N33" s="189" t="s">
        <v>131</v>
      </c>
      <c r="O33" s="14" t="s">
        <v>132</v>
      </c>
    </row>
    <row r="34" spans="1:15" ht="15" customHeight="1">
      <c r="A34" s="80"/>
      <c r="B34" s="190"/>
      <c r="C34" s="191"/>
      <c r="D34" s="191"/>
      <c r="E34" s="191"/>
      <c r="F34" s="191"/>
      <c r="G34" s="191"/>
      <c r="H34" s="191"/>
      <c r="I34" s="191"/>
      <c r="J34" s="191"/>
      <c r="K34" s="191"/>
      <c r="L34" s="192"/>
      <c r="M34" s="193"/>
      <c r="N34" s="194"/>
      <c r="O34" s="30"/>
    </row>
    <row r="35" spans="1:15" ht="15" customHeight="1">
      <c r="A35" s="80"/>
      <c r="B35" s="190" t="s">
        <v>35</v>
      </c>
      <c r="C35" s="195">
        <v>0</v>
      </c>
      <c r="D35" s="195">
        <v>0</v>
      </c>
      <c r="E35" s="195">
        <f t="shared" ref="E35:E41" si="30">C35-D35</f>
        <v>0</v>
      </c>
      <c r="F35" s="34" t="e">
        <f t="shared" ref="F35:F41" si="31">E35%/D35*100</f>
        <v>#DIV/0!</v>
      </c>
      <c r="G35" s="196">
        <v>0</v>
      </c>
      <c r="H35" s="191">
        <v>0</v>
      </c>
      <c r="I35" s="39" t="e">
        <f t="shared" ref="I35:I41" si="32">H35%/D35*100</f>
        <v>#DIV/0!</v>
      </c>
      <c r="J35" s="195">
        <v>0</v>
      </c>
      <c r="K35" s="191">
        <f t="shared" ref="K35:K41" si="33">J35*11.5</f>
        <v>0</v>
      </c>
      <c r="L35" s="40" t="e">
        <f t="shared" ref="L35:L41" si="34">K35%/D35*100</f>
        <v>#DIV/0!</v>
      </c>
      <c r="M35" s="193"/>
      <c r="N35" s="197" t="e">
        <f t="shared" ref="N35:N41" si="35">I35+L35</f>
        <v>#DIV/0!</v>
      </c>
      <c r="O35" s="43">
        <v>0</v>
      </c>
    </row>
    <row r="36" spans="1:15" ht="15" customHeight="1">
      <c r="A36" s="80"/>
      <c r="B36" s="190" t="s">
        <v>36</v>
      </c>
      <c r="C36" s="195">
        <v>0</v>
      </c>
      <c r="D36" s="195">
        <v>0</v>
      </c>
      <c r="E36" s="195">
        <f t="shared" si="30"/>
        <v>0</v>
      </c>
      <c r="F36" s="34" t="e">
        <f t="shared" si="31"/>
        <v>#DIV/0!</v>
      </c>
      <c r="G36" s="196">
        <v>0</v>
      </c>
      <c r="H36" s="191">
        <v>0</v>
      </c>
      <c r="I36" s="39" t="e">
        <f t="shared" si="32"/>
        <v>#DIV/0!</v>
      </c>
      <c r="J36" s="195">
        <v>0</v>
      </c>
      <c r="K36" s="191">
        <f t="shared" si="33"/>
        <v>0</v>
      </c>
      <c r="L36" s="40" t="e">
        <f t="shared" si="34"/>
        <v>#DIV/0!</v>
      </c>
      <c r="M36" s="193"/>
      <c r="N36" s="197" t="e">
        <f t="shared" si="35"/>
        <v>#DIV/0!</v>
      </c>
      <c r="O36" s="43">
        <v>0</v>
      </c>
    </row>
    <row r="37" spans="1:15" ht="15" customHeight="1">
      <c r="A37" s="80"/>
      <c r="B37" s="190" t="s">
        <v>133</v>
      </c>
      <c r="C37" s="195">
        <v>0</v>
      </c>
      <c r="D37" s="195">
        <v>0</v>
      </c>
      <c r="E37" s="195">
        <f t="shared" si="30"/>
        <v>0</v>
      </c>
      <c r="F37" s="34" t="e">
        <f t="shared" si="31"/>
        <v>#DIV/0!</v>
      </c>
      <c r="G37" s="196">
        <v>0</v>
      </c>
      <c r="H37" s="191">
        <v>0</v>
      </c>
      <c r="I37" s="39" t="e">
        <f t="shared" si="32"/>
        <v>#DIV/0!</v>
      </c>
      <c r="J37" s="195">
        <v>0</v>
      </c>
      <c r="K37" s="191">
        <f t="shared" si="33"/>
        <v>0</v>
      </c>
      <c r="L37" s="40" t="e">
        <f t="shared" si="34"/>
        <v>#DIV/0!</v>
      </c>
      <c r="M37" s="193"/>
      <c r="N37" s="197" t="e">
        <f t="shared" si="35"/>
        <v>#DIV/0!</v>
      </c>
      <c r="O37" s="43">
        <v>0</v>
      </c>
    </row>
    <row r="38" spans="1:15" ht="15" customHeight="1">
      <c r="A38" s="80"/>
      <c r="B38" s="190" t="s">
        <v>38</v>
      </c>
      <c r="C38" s="195">
        <v>0</v>
      </c>
      <c r="D38" s="195">
        <v>0</v>
      </c>
      <c r="E38" s="195">
        <f t="shared" si="30"/>
        <v>0</v>
      </c>
      <c r="F38" s="34" t="e">
        <f t="shared" si="31"/>
        <v>#DIV/0!</v>
      </c>
      <c r="G38" s="196">
        <v>0</v>
      </c>
      <c r="H38" s="191">
        <v>0</v>
      </c>
      <c r="I38" s="39" t="e">
        <f t="shared" si="32"/>
        <v>#DIV/0!</v>
      </c>
      <c r="J38" s="195">
        <v>0</v>
      </c>
      <c r="K38" s="191">
        <f t="shared" si="33"/>
        <v>0</v>
      </c>
      <c r="L38" s="40" t="e">
        <f t="shared" si="34"/>
        <v>#DIV/0!</v>
      </c>
      <c r="M38" s="193"/>
      <c r="N38" s="197" t="e">
        <f t="shared" si="35"/>
        <v>#DIV/0!</v>
      </c>
      <c r="O38" s="43">
        <v>0</v>
      </c>
    </row>
    <row r="39" spans="1:15" ht="15" customHeight="1">
      <c r="A39" s="80"/>
      <c r="B39" s="190" t="s">
        <v>40</v>
      </c>
      <c r="C39" s="195">
        <v>0</v>
      </c>
      <c r="D39" s="195">
        <v>0</v>
      </c>
      <c r="E39" s="195">
        <f t="shared" si="30"/>
        <v>0</v>
      </c>
      <c r="F39" s="34" t="e">
        <f t="shared" si="31"/>
        <v>#DIV/0!</v>
      </c>
      <c r="G39" s="196">
        <v>0</v>
      </c>
      <c r="H39" s="191">
        <v>0</v>
      </c>
      <c r="I39" s="39" t="e">
        <f t="shared" si="32"/>
        <v>#DIV/0!</v>
      </c>
      <c r="J39" s="195">
        <v>0</v>
      </c>
      <c r="K39" s="191">
        <f t="shared" si="33"/>
        <v>0</v>
      </c>
      <c r="L39" s="40" t="e">
        <f t="shared" si="34"/>
        <v>#DIV/0!</v>
      </c>
      <c r="M39" s="193"/>
      <c r="N39" s="197" t="e">
        <f t="shared" si="35"/>
        <v>#DIV/0!</v>
      </c>
      <c r="O39" s="43">
        <v>0</v>
      </c>
    </row>
    <row r="40" spans="1:15" ht="15" customHeight="1">
      <c r="A40" s="80"/>
      <c r="B40" s="190" t="s">
        <v>41</v>
      </c>
      <c r="C40" s="195">
        <v>0</v>
      </c>
      <c r="D40" s="195">
        <v>0</v>
      </c>
      <c r="E40" s="195">
        <f t="shared" si="30"/>
        <v>0</v>
      </c>
      <c r="F40" s="34" t="e">
        <f t="shared" si="31"/>
        <v>#DIV/0!</v>
      </c>
      <c r="G40" s="196">
        <v>0</v>
      </c>
      <c r="H40" s="191">
        <v>0</v>
      </c>
      <c r="I40" s="39" t="e">
        <f t="shared" si="32"/>
        <v>#DIV/0!</v>
      </c>
      <c r="J40" s="195">
        <v>0</v>
      </c>
      <c r="K40" s="191">
        <f t="shared" si="33"/>
        <v>0</v>
      </c>
      <c r="L40" s="40" t="e">
        <f t="shared" si="34"/>
        <v>#DIV/0!</v>
      </c>
      <c r="M40" s="193"/>
      <c r="N40" s="197" t="e">
        <f t="shared" si="35"/>
        <v>#DIV/0!</v>
      </c>
      <c r="O40" s="43">
        <v>0</v>
      </c>
    </row>
    <row r="41" spans="1:15" ht="15" customHeight="1">
      <c r="A41" s="80"/>
      <c r="B41" s="190" t="s">
        <v>42</v>
      </c>
      <c r="C41" s="195">
        <v>0</v>
      </c>
      <c r="D41" s="195">
        <v>0</v>
      </c>
      <c r="E41" s="195">
        <f t="shared" si="30"/>
        <v>0</v>
      </c>
      <c r="F41" s="34" t="e">
        <f t="shared" si="31"/>
        <v>#DIV/0!</v>
      </c>
      <c r="G41" s="196">
        <v>0</v>
      </c>
      <c r="H41" s="191">
        <v>0</v>
      </c>
      <c r="I41" s="39" t="e">
        <f t="shared" si="32"/>
        <v>#DIV/0!</v>
      </c>
      <c r="J41" s="195">
        <v>0</v>
      </c>
      <c r="K41" s="191">
        <f t="shared" si="33"/>
        <v>0</v>
      </c>
      <c r="L41" s="40" t="e">
        <f t="shared" si="34"/>
        <v>#DIV/0!</v>
      </c>
      <c r="M41" s="198">
        <v>0</v>
      </c>
      <c r="N41" s="197" t="e">
        <f t="shared" si="35"/>
        <v>#DIV/0!</v>
      </c>
      <c r="O41" s="43">
        <v>0</v>
      </c>
    </row>
    <row r="42" spans="1:15" ht="15" customHeight="1">
      <c r="A42" s="80"/>
      <c r="B42" s="190"/>
      <c r="C42" s="191"/>
      <c r="D42" s="191"/>
      <c r="E42" s="191"/>
      <c r="F42" s="191"/>
      <c r="G42" s="191"/>
      <c r="H42" s="191"/>
      <c r="I42" s="191"/>
      <c r="J42" s="191"/>
      <c r="K42" s="191"/>
      <c r="L42" s="192"/>
      <c r="M42" s="193"/>
      <c r="N42" s="197"/>
      <c r="O42" s="43"/>
    </row>
    <row r="43" spans="1:15" ht="15.75" customHeight="1" thickBot="1">
      <c r="A43" s="80"/>
      <c r="B43" s="199" t="s">
        <v>45</v>
      </c>
      <c r="C43" s="200">
        <f t="shared" ref="C43:D43" si="36">SUM(C35:C42)</f>
        <v>0</v>
      </c>
      <c r="D43" s="200">
        <f t="shared" si="36"/>
        <v>0</v>
      </c>
      <c r="E43" s="200">
        <f t="shared" ref="E43:E47" si="37">C43-D43</f>
        <v>0</v>
      </c>
      <c r="F43" s="34" t="e">
        <f t="shared" ref="F43:F47" si="38">E43%/D43*100</f>
        <v>#DIV/0!</v>
      </c>
      <c r="G43" s="200">
        <f>SUM(G35:G42)</f>
        <v>0</v>
      </c>
      <c r="H43" s="201">
        <f>SUM(H35:H41)</f>
        <v>0</v>
      </c>
      <c r="I43" s="202" t="e">
        <f t="shared" ref="I43:I47" si="39">H43%/D43*100</f>
        <v>#DIV/0!</v>
      </c>
      <c r="J43" s="200">
        <f>SUM(J35:J42)</f>
        <v>0</v>
      </c>
      <c r="K43" s="201">
        <f t="shared" ref="K43:K47" si="40">J43*11.5</f>
        <v>0</v>
      </c>
      <c r="L43" s="203" t="e">
        <f t="shared" ref="L43:L47" si="41">K43%/D43*100</f>
        <v>#DIV/0!</v>
      </c>
      <c r="M43" s="204"/>
      <c r="N43" s="205" t="e">
        <f t="shared" ref="N43:N47" si="42">I43+L43</f>
        <v>#DIV/0!</v>
      </c>
      <c r="O43" s="63"/>
    </row>
    <row r="44" spans="1:15" ht="15.5">
      <c r="A44" s="80"/>
      <c r="B44" s="206" t="s">
        <v>39</v>
      </c>
      <c r="C44" s="207">
        <v>0</v>
      </c>
      <c r="D44" s="207">
        <v>0</v>
      </c>
      <c r="E44" s="207">
        <f t="shared" si="37"/>
        <v>0</v>
      </c>
      <c r="F44" s="34" t="e">
        <f t="shared" si="38"/>
        <v>#DIV/0!</v>
      </c>
      <c r="G44" s="208">
        <v>0</v>
      </c>
      <c r="H44" s="209">
        <v>0</v>
      </c>
      <c r="I44" s="210" t="e">
        <f t="shared" si="39"/>
        <v>#DIV/0!</v>
      </c>
      <c r="J44" s="207">
        <v>0</v>
      </c>
      <c r="K44" s="209">
        <f t="shared" si="40"/>
        <v>0</v>
      </c>
      <c r="L44" s="211" t="e">
        <f t="shared" si="41"/>
        <v>#DIV/0!</v>
      </c>
      <c r="M44" s="212"/>
      <c r="N44" s="213" t="e">
        <f t="shared" si="42"/>
        <v>#DIV/0!</v>
      </c>
      <c r="O44" s="214">
        <v>0</v>
      </c>
    </row>
    <row r="45" spans="1:15" ht="15.5">
      <c r="A45" s="80"/>
      <c r="B45" s="190" t="s">
        <v>134</v>
      </c>
      <c r="C45" s="195">
        <v>0</v>
      </c>
      <c r="D45" s="195">
        <v>0</v>
      </c>
      <c r="E45" s="195">
        <f t="shared" si="37"/>
        <v>0</v>
      </c>
      <c r="F45" s="34" t="e">
        <f t="shared" si="38"/>
        <v>#DIV/0!</v>
      </c>
      <c r="G45" s="196">
        <v>0</v>
      </c>
      <c r="H45" s="191">
        <v>0</v>
      </c>
      <c r="I45" s="34" t="e">
        <f t="shared" si="39"/>
        <v>#DIV/0!</v>
      </c>
      <c r="J45" s="195">
        <v>0</v>
      </c>
      <c r="K45" s="191">
        <f t="shared" si="40"/>
        <v>0</v>
      </c>
      <c r="L45" s="40" t="e">
        <f t="shared" si="41"/>
        <v>#DIV/0!</v>
      </c>
      <c r="M45" s="193"/>
      <c r="N45" s="197" t="e">
        <f t="shared" si="42"/>
        <v>#DIV/0!</v>
      </c>
      <c r="O45" s="43">
        <v>0</v>
      </c>
    </row>
    <row r="46" spans="1:15" ht="16" thickBot="1">
      <c r="A46" s="80"/>
      <c r="B46" s="215" t="s">
        <v>44</v>
      </c>
      <c r="C46" s="216">
        <v>0</v>
      </c>
      <c r="D46" s="216">
        <v>0</v>
      </c>
      <c r="E46" s="216">
        <f t="shared" si="37"/>
        <v>0</v>
      </c>
      <c r="F46" s="34" t="e">
        <f t="shared" si="38"/>
        <v>#DIV/0!</v>
      </c>
      <c r="G46" s="217">
        <v>0</v>
      </c>
      <c r="H46" s="218">
        <v>0</v>
      </c>
      <c r="I46" s="219" t="e">
        <f t="shared" si="39"/>
        <v>#DIV/0!</v>
      </c>
      <c r="J46" s="216">
        <v>0</v>
      </c>
      <c r="K46" s="18">
        <f t="shared" si="40"/>
        <v>0</v>
      </c>
      <c r="L46" s="220" t="e">
        <f t="shared" si="41"/>
        <v>#DIV/0!</v>
      </c>
      <c r="M46" s="193"/>
      <c r="N46" s="197" t="e">
        <f t="shared" si="42"/>
        <v>#DIV/0!</v>
      </c>
      <c r="O46" s="43">
        <v>0</v>
      </c>
    </row>
    <row r="47" spans="1:15" ht="16" thickBot="1">
      <c r="A47" s="221"/>
      <c r="B47" s="222" t="s">
        <v>66</v>
      </c>
      <c r="C47" s="223">
        <f t="shared" ref="C47:D47" si="43">SUM(C43:C46)</f>
        <v>0</v>
      </c>
      <c r="D47" s="223">
        <f t="shared" si="43"/>
        <v>0</v>
      </c>
      <c r="E47" s="223">
        <f t="shared" si="37"/>
        <v>0</v>
      </c>
      <c r="F47" s="224" t="e">
        <f t="shared" si="38"/>
        <v>#DIV/0!</v>
      </c>
      <c r="G47" s="223">
        <f t="shared" ref="G47:H47" si="44">SUM(G43:G46)</f>
        <v>0</v>
      </c>
      <c r="H47" s="223">
        <f t="shared" si="44"/>
        <v>0</v>
      </c>
      <c r="I47" s="224" t="e">
        <f t="shared" si="39"/>
        <v>#DIV/0!</v>
      </c>
      <c r="J47" s="223">
        <f>SUM(J43:J46)</f>
        <v>0</v>
      </c>
      <c r="K47" s="225">
        <f t="shared" si="40"/>
        <v>0</v>
      </c>
      <c r="L47" s="226" t="e">
        <f t="shared" si="41"/>
        <v>#DIV/0!</v>
      </c>
      <c r="M47" s="227"/>
      <c r="N47" s="228" t="e">
        <f t="shared" si="42"/>
        <v>#DIV/0!</v>
      </c>
      <c r="O47" s="229"/>
    </row>
    <row r="48" spans="1:15" ht="16" thickBot="1">
      <c r="C48" s="237"/>
    </row>
    <row r="49" spans="1:15" ht="31">
      <c r="A49" s="185">
        <v>46113</v>
      </c>
      <c r="B49" s="13" t="s">
        <v>1</v>
      </c>
      <c r="C49" s="186" t="s">
        <v>121</v>
      </c>
      <c r="D49" s="186" t="s">
        <v>122</v>
      </c>
      <c r="E49" s="186" t="s">
        <v>123</v>
      </c>
      <c r="F49" s="186" t="s">
        <v>124</v>
      </c>
      <c r="G49" s="186" t="s">
        <v>9</v>
      </c>
      <c r="H49" s="186" t="s">
        <v>125</v>
      </c>
      <c r="I49" s="186" t="s">
        <v>126</v>
      </c>
      <c r="J49" s="186" t="s">
        <v>127</v>
      </c>
      <c r="K49" s="186" t="s">
        <v>128</v>
      </c>
      <c r="L49" s="187" t="s">
        <v>129</v>
      </c>
      <c r="M49" s="188" t="s">
        <v>130</v>
      </c>
      <c r="N49" s="189" t="s">
        <v>131</v>
      </c>
      <c r="O49" s="14" t="s">
        <v>132</v>
      </c>
    </row>
    <row r="50" spans="1:15" ht="15" customHeight="1">
      <c r="A50" s="80"/>
      <c r="B50" s="190"/>
      <c r="C50" s="191"/>
      <c r="D50" s="191"/>
      <c r="E50" s="191"/>
      <c r="F50" s="191"/>
      <c r="G50" s="191"/>
      <c r="H50" s="191"/>
      <c r="I50" s="191"/>
      <c r="J50" s="191"/>
      <c r="K50" s="191"/>
      <c r="L50" s="192"/>
      <c r="M50" s="193"/>
      <c r="N50" s="194"/>
      <c r="O50" s="30"/>
    </row>
    <row r="51" spans="1:15" ht="15" customHeight="1">
      <c r="A51" s="80"/>
      <c r="B51" s="190" t="s">
        <v>35</v>
      </c>
      <c r="C51" s="195">
        <v>0</v>
      </c>
      <c r="D51" s="195">
        <v>0</v>
      </c>
      <c r="E51" s="195">
        <f t="shared" ref="E51:E57" si="45">C51-D51</f>
        <v>0</v>
      </c>
      <c r="F51" s="34" t="e">
        <f t="shared" ref="F51:F57" si="46">E51%/D51*100</f>
        <v>#DIV/0!</v>
      </c>
      <c r="G51" s="196">
        <v>0</v>
      </c>
      <c r="H51" s="191">
        <v>0</v>
      </c>
      <c r="I51" s="39" t="e">
        <f t="shared" ref="I51:I57" si="47">H51%/D51*100</f>
        <v>#DIV/0!</v>
      </c>
      <c r="J51" s="195">
        <v>0</v>
      </c>
      <c r="K51" s="191">
        <f t="shared" ref="K51:K57" si="48">J51*11.5</f>
        <v>0</v>
      </c>
      <c r="L51" s="40" t="e">
        <f t="shared" ref="L51:L57" si="49">K51%/D51*100</f>
        <v>#DIV/0!</v>
      </c>
      <c r="M51" s="193"/>
      <c r="N51" s="197" t="e">
        <f t="shared" ref="N51:N57" si="50">I51+L51</f>
        <v>#DIV/0!</v>
      </c>
      <c r="O51" s="43">
        <v>0</v>
      </c>
    </row>
    <row r="52" spans="1:15" ht="15" customHeight="1">
      <c r="A52" s="80"/>
      <c r="B52" s="190" t="s">
        <v>36</v>
      </c>
      <c r="C52" s="195">
        <v>0</v>
      </c>
      <c r="D52" s="195">
        <v>0</v>
      </c>
      <c r="E52" s="195">
        <f t="shared" si="45"/>
        <v>0</v>
      </c>
      <c r="F52" s="34" t="e">
        <f t="shared" si="46"/>
        <v>#DIV/0!</v>
      </c>
      <c r="G52" s="196">
        <v>0</v>
      </c>
      <c r="H52" s="191">
        <v>0</v>
      </c>
      <c r="I52" s="39" t="e">
        <f t="shared" si="47"/>
        <v>#DIV/0!</v>
      </c>
      <c r="J52" s="195">
        <v>0</v>
      </c>
      <c r="K52" s="191">
        <f t="shared" si="48"/>
        <v>0</v>
      </c>
      <c r="L52" s="40" t="e">
        <f t="shared" si="49"/>
        <v>#DIV/0!</v>
      </c>
      <c r="M52" s="193"/>
      <c r="N52" s="197" t="e">
        <f t="shared" si="50"/>
        <v>#DIV/0!</v>
      </c>
      <c r="O52" s="43">
        <v>0</v>
      </c>
    </row>
    <row r="53" spans="1:15" ht="15" customHeight="1">
      <c r="A53" s="80"/>
      <c r="B53" s="190" t="s">
        <v>133</v>
      </c>
      <c r="C53" s="195">
        <v>0</v>
      </c>
      <c r="D53" s="195">
        <v>0</v>
      </c>
      <c r="E53" s="195">
        <f t="shared" si="45"/>
        <v>0</v>
      </c>
      <c r="F53" s="34" t="e">
        <f t="shared" si="46"/>
        <v>#DIV/0!</v>
      </c>
      <c r="G53" s="196">
        <v>0</v>
      </c>
      <c r="H53" s="191">
        <v>0</v>
      </c>
      <c r="I53" s="39" t="e">
        <f t="shared" si="47"/>
        <v>#DIV/0!</v>
      </c>
      <c r="J53" s="195">
        <v>0</v>
      </c>
      <c r="K53" s="191">
        <f t="shared" si="48"/>
        <v>0</v>
      </c>
      <c r="L53" s="40" t="e">
        <f t="shared" si="49"/>
        <v>#DIV/0!</v>
      </c>
      <c r="M53" s="193"/>
      <c r="N53" s="197" t="e">
        <f t="shared" si="50"/>
        <v>#DIV/0!</v>
      </c>
      <c r="O53" s="43">
        <v>0</v>
      </c>
    </row>
    <row r="54" spans="1:15" ht="15" customHeight="1">
      <c r="A54" s="80"/>
      <c r="B54" s="190" t="s">
        <v>38</v>
      </c>
      <c r="C54" s="195">
        <v>0</v>
      </c>
      <c r="D54" s="195">
        <v>0</v>
      </c>
      <c r="E54" s="195">
        <f t="shared" si="45"/>
        <v>0</v>
      </c>
      <c r="F54" s="34" t="e">
        <f t="shared" si="46"/>
        <v>#DIV/0!</v>
      </c>
      <c r="G54" s="196">
        <v>0</v>
      </c>
      <c r="H54" s="191">
        <v>0</v>
      </c>
      <c r="I54" s="39" t="e">
        <f t="shared" si="47"/>
        <v>#DIV/0!</v>
      </c>
      <c r="J54" s="195">
        <v>0</v>
      </c>
      <c r="K54" s="191">
        <f t="shared" si="48"/>
        <v>0</v>
      </c>
      <c r="L54" s="40" t="e">
        <f t="shared" si="49"/>
        <v>#DIV/0!</v>
      </c>
      <c r="M54" s="193"/>
      <c r="N54" s="197" t="e">
        <f t="shared" si="50"/>
        <v>#DIV/0!</v>
      </c>
      <c r="O54" s="43">
        <v>0</v>
      </c>
    </row>
    <row r="55" spans="1:15" ht="15" customHeight="1">
      <c r="A55" s="80"/>
      <c r="B55" s="190" t="s">
        <v>40</v>
      </c>
      <c r="C55" s="195">
        <v>0</v>
      </c>
      <c r="D55" s="195">
        <v>0</v>
      </c>
      <c r="E55" s="195">
        <f t="shared" si="45"/>
        <v>0</v>
      </c>
      <c r="F55" s="34" t="e">
        <f t="shared" si="46"/>
        <v>#DIV/0!</v>
      </c>
      <c r="G55" s="196">
        <v>0</v>
      </c>
      <c r="H55" s="191">
        <v>0</v>
      </c>
      <c r="I55" s="39" t="e">
        <f t="shared" si="47"/>
        <v>#DIV/0!</v>
      </c>
      <c r="J55" s="195">
        <v>0</v>
      </c>
      <c r="K55" s="191">
        <f t="shared" si="48"/>
        <v>0</v>
      </c>
      <c r="L55" s="40" t="e">
        <f t="shared" si="49"/>
        <v>#DIV/0!</v>
      </c>
      <c r="M55" s="193"/>
      <c r="N55" s="197" t="e">
        <f t="shared" si="50"/>
        <v>#DIV/0!</v>
      </c>
      <c r="O55" s="43">
        <v>0</v>
      </c>
    </row>
    <row r="56" spans="1:15" ht="15" customHeight="1">
      <c r="A56" s="80"/>
      <c r="B56" s="190" t="s">
        <v>41</v>
      </c>
      <c r="C56" s="195">
        <v>0</v>
      </c>
      <c r="D56" s="195">
        <v>0</v>
      </c>
      <c r="E56" s="195">
        <f t="shared" si="45"/>
        <v>0</v>
      </c>
      <c r="F56" s="34" t="e">
        <f t="shared" si="46"/>
        <v>#DIV/0!</v>
      </c>
      <c r="G56" s="196">
        <v>0</v>
      </c>
      <c r="H56" s="191">
        <v>0</v>
      </c>
      <c r="I56" s="39" t="e">
        <f t="shared" si="47"/>
        <v>#DIV/0!</v>
      </c>
      <c r="J56" s="195">
        <v>0</v>
      </c>
      <c r="K56" s="191">
        <f t="shared" si="48"/>
        <v>0</v>
      </c>
      <c r="L56" s="40" t="e">
        <f t="shared" si="49"/>
        <v>#DIV/0!</v>
      </c>
      <c r="M56" s="193"/>
      <c r="N56" s="197" t="e">
        <f t="shared" si="50"/>
        <v>#DIV/0!</v>
      </c>
      <c r="O56" s="43">
        <v>0</v>
      </c>
    </row>
    <row r="57" spans="1:15" ht="15" customHeight="1">
      <c r="A57" s="80"/>
      <c r="B57" s="190" t="s">
        <v>42</v>
      </c>
      <c r="C57" s="195">
        <v>0</v>
      </c>
      <c r="D57" s="195">
        <v>0</v>
      </c>
      <c r="E57" s="195">
        <f t="shared" si="45"/>
        <v>0</v>
      </c>
      <c r="F57" s="34" t="e">
        <f t="shared" si="46"/>
        <v>#DIV/0!</v>
      </c>
      <c r="G57" s="196">
        <v>0</v>
      </c>
      <c r="H57" s="191">
        <v>0</v>
      </c>
      <c r="I57" s="39" t="e">
        <f t="shared" si="47"/>
        <v>#DIV/0!</v>
      </c>
      <c r="J57" s="195">
        <v>0</v>
      </c>
      <c r="K57" s="191">
        <f t="shared" si="48"/>
        <v>0</v>
      </c>
      <c r="L57" s="40" t="e">
        <f t="shared" si="49"/>
        <v>#DIV/0!</v>
      </c>
      <c r="M57" s="198">
        <v>0</v>
      </c>
      <c r="N57" s="197" t="e">
        <f t="shared" si="50"/>
        <v>#DIV/0!</v>
      </c>
      <c r="O57" s="43">
        <v>0</v>
      </c>
    </row>
    <row r="58" spans="1:15" ht="15" customHeight="1">
      <c r="A58" s="80"/>
      <c r="B58" s="190"/>
      <c r="C58" s="191"/>
      <c r="D58" s="191"/>
      <c r="E58" s="191"/>
      <c r="F58" s="191"/>
      <c r="G58" s="191"/>
      <c r="H58" s="191"/>
      <c r="I58" s="191"/>
      <c r="J58" s="191"/>
      <c r="K58" s="191"/>
      <c r="L58" s="192"/>
      <c r="M58" s="193"/>
      <c r="N58" s="197"/>
      <c r="O58" s="43"/>
    </row>
    <row r="59" spans="1:15" ht="15.75" customHeight="1" thickBot="1">
      <c r="A59" s="80"/>
      <c r="B59" s="199" t="s">
        <v>45</v>
      </c>
      <c r="C59" s="200">
        <f t="shared" ref="C59:D59" si="51">SUM(C51:C58)</f>
        <v>0</v>
      </c>
      <c r="D59" s="200">
        <f t="shared" si="51"/>
        <v>0</v>
      </c>
      <c r="E59" s="200">
        <f t="shared" ref="E59:E63" si="52">C59-D59</f>
        <v>0</v>
      </c>
      <c r="F59" s="34" t="e">
        <f t="shared" ref="F59:F63" si="53">E59%/D59*100</f>
        <v>#DIV/0!</v>
      </c>
      <c r="G59" s="200">
        <f>SUM(G51:G58)</f>
        <v>0</v>
      </c>
      <c r="H59" s="201">
        <f>SUM(H51:H57)</f>
        <v>0</v>
      </c>
      <c r="I59" s="202" t="e">
        <f t="shared" ref="I59:I63" si="54">H59%/D59*100</f>
        <v>#DIV/0!</v>
      </c>
      <c r="J59" s="200">
        <f>SUM(J51:J58)</f>
        <v>0</v>
      </c>
      <c r="K59" s="201">
        <f t="shared" ref="K59:K63" si="55">J59*11.5</f>
        <v>0</v>
      </c>
      <c r="L59" s="203" t="e">
        <f t="shared" ref="L59:L63" si="56">K59%/D59*100</f>
        <v>#DIV/0!</v>
      </c>
      <c r="M59" s="204"/>
      <c r="N59" s="205" t="e">
        <f t="shared" ref="N59:N63" si="57">I59+L59</f>
        <v>#DIV/0!</v>
      </c>
      <c r="O59" s="63"/>
    </row>
    <row r="60" spans="1:15" ht="15.5">
      <c r="A60" s="80"/>
      <c r="B60" s="206" t="s">
        <v>39</v>
      </c>
      <c r="C60" s="207">
        <v>0</v>
      </c>
      <c r="D60" s="207">
        <v>0</v>
      </c>
      <c r="E60" s="207">
        <f t="shared" si="52"/>
        <v>0</v>
      </c>
      <c r="F60" s="34" t="e">
        <f t="shared" si="53"/>
        <v>#DIV/0!</v>
      </c>
      <c r="G60" s="208">
        <v>0</v>
      </c>
      <c r="H60" s="209">
        <v>0</v>
      </c>
      <c r="I60" s="210" t="e">
        <f t="shared" si="54"/>
        <v>#DIV/0!</v>
      </c>
      <c r="J60" s="207">
        <v>0</v>
      </c>
      <c r="K60" s="209">
        <f t="shared" si="55"/>
        <v>0</v>
      </c>
      <c r="L60" s="211" t="e">
        <f t="shared" si="56"/>
        <v>#DIV/0!</v>
      </c>
      <c r="M60" s="212"/>
      <c r="N60" s="213" t="e">
        <f t="shared" si="57"/>
        <v>#DIV/0!</v>
      </c>
      <c r="O60" s="214">
        <v>0</v>
      </c>
    </row>
    <row r="61" spans="1:15" ht="15.5">
      <c r="A61" s="80"/>
      <c r="B61" s="190" t="s">
        <v>134</v>
      </c>
      <c r="C61" s="195">
        <v>0</v>
      </c>
      <c r="D61" s="195">
        <v>0</v>
      </c>
      <c r="E61" s="195">
        <f t="shared" si="52"/>
        <v>0</v>
      </c>
      <c r="F61" s="34" t="e">
        <f t="shared" si="53"/>
        <v>#DIV/0!</v>
      </c>
      <c r="G61" s="196">
        <v>0</v>
      </c>
      <c r="H61" s="191">
        <v>0</v>
      </c>
      <c r="I61" s="34" t="e">
        <f t="shared" si="54"/>
        <v>#DIV/0!</v>
      </c>
      <c r="J61" s="195">
        <v>0</v>
      </c>
      <c r="K61" s="191">
        <f t="shared" si="55"/>
        <v>0</v>
      </c>
      <c r="L61" s="40" t="e">
        <f t="shared" si="56"/>
        <v>#DIV/0!</v>
      </c>
      <c r="M61" s="193"/>
      <c r="N61" s="197" t="e">
        <f t="shared" si="57"/>
        <v>#DIV/0!</v>
      </c>
      <c r="O61" s="43">
        <v>0</v>
      </c>
    </row>
    <row r="62" spans="1:15" ht="16" thickBot="1">
      <c r="A62" s="80"/>
      <c r="B62" s="215" t="s">
        <v>44</v>
      </c>
      <c r="C62" s="216">
        <v>0</v>
      </c>
      <c r="D62" s="216">
        <v>0</v>
      </c>
      <c r="E62" s="216">
        <f t="shared" si="52"/>
        <v>0</v>
      </c>
      <c r="F62" s="34" t="e">
        <f t="shared" si="53"/>
        <v>#DIV/0!</v>
      </c>
      <c r="G62" s="217">
        <v>0</v>
      </c>
      <c r="H62" s="218">
        <v>0</v>
      </c>
      <c r="I62" s="219" t="e">
        <f t="shared" si="54"/>
        <v>#DIV/0!</v>
      </c>
      <c r="J62" s="216">
        <v>0</v>
      </c>
      <c r="K62" s="18">
        <f t="shared" si="55"/>
        <v>0</v>
      </c>
      <c r="L62" s="220" t="e">
        <f t="shared" si="56"/>
        <v>#DIV/0!</v>
      </c>
      <c r="M62" s="193"/>
      <c r="N62" s="197" t="e">
        <f t="shared" si="57"/>
        <v>#DIV/0!</v>
      </c>
      <c r="O62" s="43">
        <v>0</v>
      </c>
    </row>
    <row r="63" spans="1:15" ht="16" thickBot="1">
      <c r="A63" s="221"/>
      <c r="B63" s="222" t="s">
        <v>66</v>
      </c>
      <c r="C63" s="223">
        <f t="shared" ref="C63:D63" si="58">SUM(C59:C62)</f>
        <v>0</v>
      </c>
      <c r="D63" s="223">
        <f t="shared" si="58"/>
        <v>0</v>
      </c>
      <c r="E63" s="223">
        <f t="shared" si="52"/>
        <v>0</v>
      </c>
      <c r="F63" s="224" t="e">
        <f t="shared" si="53"/>
        <v>#DIV/0!</v>
      </c>
      <c r="G63" s="223">
        <f t="shared" ref="G63:H63" si="59">SUM(G59:G62)</f>
        <v>0</v>
      </c>
      <c r="H63" s="223">
        <f t="shared" si="59"/>
        <v>0</v>
      </c>
      <c r="I63" s="224" t="e">
        <f t="shared" si="54"/>
        <v>#DIV/0!</v>
      </c>
      <c r="J63" s="223">
        <f>SUM(J59:J62)</f>
        <v>0</v>
      </c>
      <c r="K63" s="225">
        <f t="shared" si="55"/>
        <v>0</v>
      </c>
      <c r="L63" s="226" t="e">
        <f t="shared" si="56"/>
        <v>#DIV/0!</v>
      </c>
      <c r="M63" s="227"/>
      <c r="N63" s="228" t="e">
        <f t="shared" si="57"/>
        <v>#DIV/0!</v>
      </c>
      <c r="O63" s="229"/>
    </row>
    <row r="64" spans="1:15" ht="21.5" thickBot="1">
      <c r="A64" s="238"/>
      <c r="B64" s="239"/>
      <c r="C64" s="240"/>
      <c r="D64" s="240"/>
      <c r="E64" s="241"/>
      <c r="F64" s="242"/>
      <c r="G64" s="243"/>
      <c r="H64" s="243"/>
      <c r="I64" s="242"/>
      <c r="J64" s="243"/>
      <c r="K64" s="244"/>
      <c r="L64" s="245"/>
      <c r="N64" s="129"/>
    </row>
    <row r="66" spans="1:15" ht="31">
      <c r="A66" s="185">
        <v>46143</v>
      </c>
      <c r="B66" s="13" t="s">
        <v>1</v>
      </c>
      <c r="C66" s="186" t="s">
        <v>121</v>
      </c>
      <c r="D66" s="186" t="s">
        <v>122</v>
      </c>
      <c r="E66" s="186" t="s">
        <v>123</v>
      </c>
      <c r="F66" s="186" t="s">
        <v>124</v>
      </c>
      <c r="G66" s="186" t="s">
        <v>9</v>
      </c>
      <c r="H66" s="186" t="s">
        <v>125</v>
      </c>
      <c r="I66" s="186" t="s">
        <v>126</v>
      </c>
      <c r="J66" s="186" t="s">
        <v>127</v>
      </c>
      <c r="K66" s="186" t="s">
        <v>128</v>
      </c>
      <c r="L66" s="187" t="s">
        <v>129</v>
      </c>
      <c r="M66" s="188" t="s">
        <v>130</v>
      </c>
      <c r="N66" s="189" t="s">
        <v>131</v>
      </c>
      <c r="O66" s="14" t="s">
        <v>132</v>
      </c>
    </row>
    <row r="67" spans="1:15" ht="15" customHeight="1">
      <c r="A67" s="80"/>
      <c r="B67" s="190"/>
      <c r="C67" s="191"/>
      <c r="D67" s="191"/>
      <c r="E67" s="191"/>
      <c r="F67" s="191"/>
      <c r="G67" s="191"/>
      <c r="H67" s="191"/>
      <c r="I67" s="191"/>
      <c r="J67" s="191"/>
      <c r="K67" s="191"/>
      <c r="L67" s="192"/>
      <c r="M67" s="193"/>
      <c r="N67" s="194"/>
      <c r="O67" s="30"/>
    </row>
    <row r="68" spans="1:15" ht="15" customHeight="1">
      <c r="A68" s="80"/>
      <c r="B68" s="190" t="s">
        <v>35</v>
      </c>
      <c r="C68" s="195">
        <v>0</v>
      </c>
      <c r="D68" s="195">
        <v>0</v>
      </c>
      <c r="E68" s="195">
        <f t="shared" ref="E68:E74" si="60">C68-D68</f>
        <v>0</v>
      </c>
      <c r="F68" s="34" t="e">
        <f t="shared" ref="F68:F74" si="61">E68%/D68*100</f>
        <v>#DIV/0!</v>
      </c>
      <c r="G68" s="196">
        <v>0</v>
      </c>
      <c r="H68" s="191">
        <v>0</v>
      </c>
      <c r="I68" s="39" t="e">
        <f t="shared" ref="I68:I74" si="62">H68%/D68*100</f>
        <v>#DIV/0!</v>
      </c>
      <c r="J68" s="195">
        <v>0</v>
      </c>
      <c r="K68" s="191">
        <f t="shared" ref="K68:K74" si="63">J68*11.5</f>
        <v>0</v>
      </c>
      <c r="L68" s="40" t="e">
        <f t="shared" ref="L68:L74" si="64">K68%/D68*100</f>
        <v>#DIV/0!</v>
      </c>
      <c r="M68" s="193"/>
      <c r="N68" s="197" t="e">
        <f t="shared" ref="N68:N74" si="65">I68+L68</f>
        <v>#DIV/0!</v>
      </c>
      <c r="O68" s="43">
        <v>0</v>
      </c>
    </row>
    <row r="69" spans="1:15" ht="15" customHeight="1">
      <c r="A69" s="80"/>
      <c r="B69" s="190" t="s">
        <v>36</v>
      </c>
      <c r="C69" s="195">
        <v>0</v>
      </c>
      <c r="D69" s="195">
        <v>0</v>
      </c>
      <c r="E69" s="195">
        <f t="shared" si="60"/>
        <v>0</v>
      </c>
      <c r="F69" s="34" t="e">
        <f t="shared" si="61"/>
        <v>#DIV/0!</v>
      </c>
      <c r="G69" s="196">
        <v>0</v>
      </c>
      <c r="H69" s="191">
        <v>0</v>
      </c>
      <c r="I69" s="39" t="e">
        <f t="shared" si="62"/>
        <v>#DIV/0!</v>
      </c>
      <c r="J69" s="195">
        <v>0</v>
      </c>
      <c r="K69" s="191">
        <f t="shared" si="63"/>
        <v>0</v>
      </c>
      <c r="L69" s="40" t="e">
        <f t="shared" si="64"/>
        <v>#DIV/0!</v>
      </c>
      <c r="M69" s="193"/>
      <c r="N69" s="197" t="e">
        <f t="shared" si="65"/>
        <v>#DIV/0!</v>
      </c>
      <c r="O69" s="43">
        <v>0</v>
      </c>
    </row>
    <row r="70" spans="1:15" ht="15" customHeight="1">
      <c r="A70" s="80"/>
      <c r="B70" s="190" t="s">
        <v>133</v>
      </c>
      <c r="C70" s="195">
        <v>0</v>
      </c>
      <c r="D70" s="195">
        <v>0</v>
      </c>
      <c r="E70" s="195">
        <f t="shared" si="60"/>
        <v>0</v>
      </c>
      <c r="F70" s="34" t="e">
        <f t="shared" si="61"/>
        <v>#DIV/0!</v>
      </c>
      <c r="G70" s="196">
        <v>0</v>
      </c>
      <c r="H70" s="191">
        <v>0</v>
      </c>
      <c r="I70" s="39" t="e">
        <f t="shared" si="62"/>
        <v>#DIV/0!</v>
      </c>
      <c r="J70" s="195">
        <v>0</v>
      </c>
      <c r="K70" s="191">
        <f t="shared" si="63"/>
        <v>0</v>
      </c>
      <c r="L70" s="40" t="e">
        <f t="shared" si="64"/>
        <v>#DIV/0!</v>
      </c>
      <c r="M70" s="193"/>
      <c r="N70" s="197" t="e">
        <f t="shared" si="65"/>
        <v>#DIV/0!</v>
      </c>
      <c r="O70" s="43">
        <v>0</v>
      </c>
    </row>
    <row r="71" spans="1:15" ht="15" customHeight="1">
      <c r="A71" s="80"/>
      <c r="B71" s="190" t="s">
        <v>38</v>
      </c>
      <c r="C71" s="195">
        <v>0</v>
      </c>
      <c r="D71" s="195">
        <v>0</v>
      </c>
      <c r="E71" s="195">
        <f t="shared" si="60"/>
        <v>0</v>
      </c>
      <c r="F71" s="34" t="e">
        <f t="shared" si="61"/>
        <v>#DIV/0!</v>
      </c>
      <c r="G71" s="196">
        <v>0</v>
      </c>
      <c r="H71" s="191">
        <v>0</v>
      </c>
      <c r="I71" s="39" t="e">
        <f t="shared" si="62"/>
        <v>#DIV/0!</v>
      </c>
      <c r="J71" s="195">
        <v>0</v>
      </c>
      <c r="K71" s="191">
        <f t="shared" si="63"/>
        <v>0</v>
      </c>
      <c r="L71" s="40" t="e">
        <f t="shared" si="64"/>
        <v>#DIV/0!</v>
      </c>
      <c r="M71" s="193"/>
      <c r="N71" s="197" t="e">
        <f t="shared" si="65"/>
        <v>#DIV/0!</v>
      </c>
      <c r="O71" s="43">
        <v>0</v>
      </c>
    </row>
    <row r="72" spans="1:15" ht="15" customHeight="1">
      <c r="A72" s="80"/>
      <c r="B72" s="190" t="s">
        <v>40</v>
      </c>
      <c r="C72" s="195">
        <v>0</v>
      </c>
      <c r="D72" s="195">
        <v>0</v>
      </c>
      <c r="E72" s="195">
        <f t="shared" si="60"/>
        <v>0</v>
      </c>
      <c r="F72" s="34" t="e">
        <f t="shared" si="61"/>
        <v>#DIV/0!</v>
      </c>
      <c r="G72" s="196">
        <v>0</v>
      </c>
      <c r="H72" s="191">
        <v>0</v>
      </c>
      <c r="I72" s="39" t="e">
        <f t="shared" si="62"/>
        <v>#DIV/0!</v>
      </c>
      <c r="J72" s="195">
        <v>0</v>
      </c>
      <c r="K72" s="191">
        <f t="shared" si="63"/>
        <v>0</v>
      </c>
      <c r="L72" s="40" t="e">
        <f t="shared" si="64"/>
        <v>#DIV/0!</v>
      </c>
      <c r="M72" s="193"/>
      <c r="N72" s="197" t="e">
        <f t="shared" si="65"/>
        <v>#DIV/0!</v>
      </c>
      <c r="O72" s="43">
        <v>0</v>
      </c>
    </row>
    <row r="73" spans="1:15" ht="15" customHeight="1">
      <c r="A73" s="80"/>
      <c r="B73" s="190" t="s">
        <v>41</v>
      </c>
      <c r="C73" s="195">
        <v>0</v>
      </c>
      <c r="D73" s="195">
        <v>0</v>
      </c>
      <c r="E73" s="195">
        <f t="shared" si="60"/>
        <v>0</v>
      </c>
      <c r="F73" s="34" t="e">
        <f t="shared" si="61"/>
        <v>#DIV/0!</v>
      </c>
      <c r="G73" s="196">
        <v>0</v>
      </c>
      <c r="H73" s="191">
        <v>0</v>
      </c>
      <c r="I73" s="39" t="e">
        <f t="shared" si="62"/>
        <v>#DIV/0!</v>
      </c>
      <c r="J73" s="195">
        <v>0</v>
      </c>
      <c r="K73" s="191">
        <f t="shared" si="63"/>
        <v>0</v>
      </c>
      <c r="L73" s="40" t="e">
        <f t="shared" si="64"/>
        <v>#DIV/0!</v>
      </c>
      <c r="M73" s="193"/>
      <c r="N73" s="197" t="e">
        <f t="shared" si="65"/>
        <v>#DIV/0!</v>
      </c>
      <c r="O73" s="43">
        <v>0</v>
      </c>
    </row>
    <row r="74" spans="1:15" ht="15" customHeight="1">
      <c r="A74" s="80"/>
      <c r="B74" s="190" t="s">
        <v>42</v>
      </c>
      <c r="C74" s="195">
        <v>0</v>
      </c>
      <c r="D74" s="195">
        <v>0</v>
      </c>
      <c r="E74" s="195">
        <f t="shared" si="60"/>
        <v>0</v>
      </c>
      <c r="F74" s="34" t="e">
        <f t="shared" si="61"/>
        <v>#DIV/0!</v>
      </c>
      <c r="G74" s="196">
        <v>0</v>
      </c>
      <c r="H74" s="191">
        <v>0</v>
      </c>
      <c r="I74" s="39" t="e">
        <f t="shared" si="62"/>
        <v>#DIV/0!</v>
      </c>
      <c r="J74" s="195">
        <v>0</v>
      </c>
      <c r="K74" s="191">
        <f t="shared" si="63"/>
        <v>0</v>
      </c>
      <c r="L74" s="40" t="e">
        <f t="shared" si="64"/>
        <v>#DIV/0!</v>
      </c>
      <c r="M74" s="198">
        <v>0</v>
      </c>
      <c r="N74" s="197" t="e">
        <f t="shared" si="65"/>
        <v>#DIV/0!</v>
      </c>
      <c r="O74" s="43">
        <v>0</v>
      </c>
    </row>
    <row r="75" spans="1:15" ht="15" customHeight="1">
      <c r="A75" s="80"/>
      <c r="B75" s="190"/>
      <c r="C75" s="191"/>
      <c r="D75" s="191"/>
      <c r="E75" s="191"/>
      <c r="F75" s="191"/>
      <c r="G75" s="191"/>
      <c r="H75" s="191"/>
      <c r="I75" s="191"/>
      <c r="J75" s="191"/>
      <c r="K75" s="191"/>
      <c r="L75" s="192"/>
      <c r="M75" s="193"/>
      <c r="N75" s="197"/>
      <c r="O75" s="43"/>
    </row>
    <row r="76" spans="1:15" ht="15.75" customHeight="1" thickBot="1">
      <c r="A76" s="80"/>
      <c r="B76" s="199" t="s">
        <v>45</v>
      </c>
      <c r="C76" s="200">
        <f t="shared" ref="C76:D76" si="66">SUM(C68:C75)</f>
        <v>0</v>
      </c>
      <c r="D76" s="200">
        <f t="shared" si="66"/>
        <v>0</v>
      </c>
      <c r="E76" s="200">
        <f t="shared" ref="E76:E80" si="67">C76-D76</f>
        <v>0</v>
      </c>
      <c r="F76" s="34" t="e">
        <f t="shared" ref="F76:F80" si="68">E76%/D76*100</f>
        <v>#DIV/0!</v>
      </c>
      <c r="G76" s="200">
        <f>SUM(G68:G75)</f>
        <v>0</v>
      </c>
      <c r="H76" s="201">
        <f>SUM(H68:H74)</f>
        <v>0</v>
      </c>
      <c r="I76" s="202" t="e">
        <f t="shared" ref="I76:I80" si="69">H76%/D76*100</f>
        <v>#DIV/0!</v>
      </c>
      <c r="J76" s="200">
        <f>SUM(J68:J75)</f>
        <v>0</v>
      </c>
      <c r="K76" s="201">
        <f t="shared" ref="K76:K80" si="70">J76*11.5</f>
        <v>0</v>
      </c>
      <c r="L76" s="203" t="e">
        <f t="shared" ref="L76:L80" si="71">K76%/D76*100</f>
        <v>#DIV/0!</v>
      </c>
      <c r="M76" s="204"/>
      <c r="N76" s="205" t="e">
        <f t="shared" ref="N76:N80" si="72">I76+L76</f>
        <v>#DIV/0!</v>
      </c>
      <c r="O76" s="63"/>
    </row>
    <row r="77" spans="1:15" ht="15.5">
      <c r="A77" s="80"/>
      <c r="B77" s="206" t="s">
        <v>39</v>
      </c>
      <c r="C77" s="207">
        <v>0</v>
      </c>
      <c r="D77" s="207">
        <v>0</v>
      </c>
      <c r="E77" s="207">
        <f t="shared" si="67"/>
        <v>0</v>
      </c>
      <c r="F77" s="34" t="e">
        <f t="shared" si="68"/>
        <v>#DIV/0!</v>
      </c>
      <c r="G77" s="208">
        <v>0</v>
      </c>
      <c r="H77" s="209">
        <v>0</v>
      </c>
      <c r="I77" s="210" t="e">
        <f t="shared" si="69"/>
        <v>#DIV/0!</v>
      </c>
      <c r="J77" s="207">
        <v>0</v>
      </c>
      <c r="K77" s="209">
        <f t="shared" si="70"/>
        <v>0</v>
      </c>
      <c r="L77" s="211" t="e">
        <f t="shared" si="71"/>
        <v>#DIV/0!</v>
      </c>
      <c r="M77" s="212"/>
      <c r="N77" s="213" t="e">
        <f t="shared" si="72"/>
        <v>#DIV/0!</v>
      </c>
      <c r="O77" s="214">
        <v>0</v>
      </c>
    </row>
    <row r="78" spans="1:15" ht="15.5">
      <c r="A78" s="80"/>
      <c r="B78" s="190" t="s">
        <v>134</v>
      </c>
      <c r="C78" s="195">
        <v>0</v>
      </c>
      <c r="D78" s="195">
        <v>0</v>
      </c>
      <c r="E78" s="195">
        <f t="shared" si="67"/>
        <v>0</v>
      </c>
      <c r="F78" s="34" t="e">
        <f t="shared" si="68"/>
        <v>#DIV/0!</v>
      </c>
      <c r="G78" s="196">
        <v>0</v>
      </c>
      <c r="H78" s="191">
        <v>0</v>
      </c>
      <c r="I78" s="34" t="e">
        <f t="shared" si="69"/>
        <v>#DIV/0!</v>
      </c>
      <c r="J78" s="195">
        <v>0</v>
      </c>
      <c r="K78" s="191">
        <f t="shared" si="70"/>
        <v>0</v>
      </c>
      <c r="L78" s="40" t="e">
        <f t="shared" si="71"/>
        <v>#DIV/0!</v>
      </c>
      <c r="M78" s="193"/>
      <c r="N78" s="197" t="e">
        <f t="shared" si="72"/>
        <v>#DIV/0!</v>
      </c>
      <c r="O78" s="43">
        <v>0</v>
      </c>
    </row>
    <row r="79" spans="1:15" ht="16" thickBot="1">
      <c r="A79" s="80"/>
      <c r="B79" s="215" t="s">
        <v>44</v>
      </c>
      <c r="C79" s="216">
        <v>0</v>
      </c>
      <c r="D79" s="216">
        <v>0</v>
      </c>
      <c r="E79" s="216">
        <f t="shared" si="67"/>
        <v>0</v>
      </c>
      <c r="F79" s="34" t="e">
        <f t="shared" si="68"/>
        <v>#DIV/0!</v>
      </c>
      <c r="G79" s="217">
        <v>0</v>
      </c>
      <c r="H79" s="218">
        <v>0</v>
      </c>
      <c r="I79" s="219" t="e">
        <f t="shared" si="69"/>
        <v>#DIV/0!</v>
      </c>
      <c r="J79" s="216">
        <v>0</v>
      </c>
      <c r="K79" s="18">
        <f t="shared" si="70"/>
        <v>0</v>
      </c>
      <c r="L79" s="220" t="e">
        <f t="shared" si="71"/>
        <v>#DIV/0!</v>
      </c>
      <c r="M79" s="193"/>
      <c r="N79" s="197" t="e">
        <f t="shared" si="72"/>
        <v>#DIV/0!</v>
      </c>
      <c r="O79" s="43">
        <v>0</v>
      </c>
    </row>
    <row r="80" spans="1:15" ht="16" thickBot="1">
      <c r="A80" s="221"/>
      <c r="B80" s="222" t="s">
        <v>66</v>
      </c>
      <c r="C80" s="223">
        <f t="shared" ref="C80:D80" si="73">SUM(C76:C79)</f>
        <v>0</v>
      </c>
      <c r="D80" s="223">
        <f t="shared" si="73"/>
        <v>0</v>
      </c>
      <c r="E80" s="223">
        <f t="shared" si="67"/>
        <v>0</v>
      </c>
      <c r="F80" s="224" t="e">
        <f t="shared" si="68"/>
        <v>#DIV/0!</v>
      </c>
      <c r="G80" s="223">
        <f t="shared" ref="G80:H80" si="74">SUM(G76:G79)</f>
        <v>0</v>
      </c>
      <c r="H80" s="223">
        <f t="shared" si="74"/>
        <v>0</v>
      </c>
      <c r="I80" s="224" t="e">
        <f t="shared" si="69"/>
        <v>#DIV/0!</v>
      </c>
      <c r="J80" s="223">
        <f>SUM(J76:J79)</f>
        <v>0</v>
      </c>
      <c r="K80" s="225">
        <f t="shared" si="70"/>
        <v>0</v>
      </c>
      <c r="L80" s="226" t="e">
        <f t="shared" si="71"/>
        <v>#DIV/0!</v>
      </c>
      <c r="M80" s="227"/>
      <c r="N80" s="228" t="e">
        <f t="shared" si="72"/>
        <v>#DIV/0!</v>
      </c>
      <c r="O80" s="229"/>
    </row>
    <row r="81" spans="1:15" ht="15" customHeight="1" thickBot="1"/>
    <row r="82" spans="1:15" ht="31">
      <c r="A82" s="185">
        <v>46174</v>
      </c>
      <c r="B82" s="13" t="s">
        <v>1</v>
      </c>
      <c r="C82" s="186" t="s">
        <v>121</v>
      </c>
      <c r="D82" s="186" t="s">
        <v>122</v>
      </c>
      <c r="E82" s="186" t="s">
        <v>123</v>
      </c>
      <c r="F82" s="186" t="s">
        <v>124</v>
      </c>
      <c r="G82" s="186" t="s">
        <v>9</v>
      </c>
      <c r="H82" s="186" t="s">
        <v>125</v>
      </c>
      <c r="I82" s="186" t="s">
        <v>126</v>
      </c>
      <c r="J82" s="186" t="s">
        <v>127</v>
      </c>
      <c r="K82" s="186" t="s">
        <v>128</v>
      </c>
      <c r="L82" s="187" t="s">
        <v>129</v>
      </c>
      <c r="M82" s="188" t="s">
        <v>130</v>
      </c>
      <c r="N82" s="189" t="s">
        <v>131</v>
      </c>
      <c r="O82" s="14" t="s">
        <v>132</v>
      </c>
    </row>
    <row r="83" spans="1:15" ht="15" customHeight="1">
      <c r="A83" s="80"/>
      <c r="B83" s="190"/>
      <c r="C83" s="191"/>
      <c r="D83" s="191"/>
      <c r="E83" s="191"/>
      <c r="F83" s="191"/>
      <c r="G83" s="191"/>
      <c r="H83" s="191"/>
      <c r="I83" s="191"/>
      <c r="J83" s="191"/>
      <c r="K83" s="191"/>
      <c r="L83" s="192"/>
      <c r="M83" s="193"/>
      <c r="N83" s="194"/>
      <c r="O83" s="30"/>
    </row>
    <row r="84" spans="1:15" ht="15" customHeight="1">
      <c r="A84" s="80"/>
      <c r="B84" s="190" t="s">
        <v>35</v>
      </c>
      <c r="C84" s="195">
        <v>0</v>
      </c>
      <c r="D84" s="195">
        <v>0</v>
      </c>
      <c r="E84" s="195">
        <f t="shared" ref="E84:E90" si="75">C84-D84</f>
        <v>0</v>
      </c>
      <c r="F84" s="34" t="e">
        <f t="shared" ref="F84:F90" si="76">E84%/D84*100</f>
        <v>#DIV/0!</v>
      </c>
      <c r="G84" s="196">
        <v>0</v>
      </c>
      <c r="H84" s="191">
        <v>0</v>
      </c>
      <c r="I84" s="39" t="e">
        <f t="shared" ref="I84:I90" si="77">H84%/D84*100</f>
        <v>#DIV/0!</v>
      </c>
      <c r="J84" s="195">
        <v>0</v>
      </c>
      <c r="K84" s="191">
        <f t="shared" ref="K84:K90" si="78">J84*11.5</f>
        <v>0</v>
      </c>
      <c r="L84" s="40" t="e">
        <f t="shared" ref="L84:L90" si="79">K84%/D84*100</f>
        <v>#DIV/0!</v>
      </c>
      <c r="M84" s="193"/>
      <c r="N84" s="197" t="e">
        <f t="shared" ref="N84:N90" si="80">I84+L84</f>
        <v>#DIV/0!</v>
      </c>
      <c r="O84" s="43">
        <v>0</v>
      </c>
    </row>
    <row r="85" spans="1:15" ht="15" customHeight="1">
      <c r="A85" s="80"/>
      <c r="B85" s="190" t="s">
        <v>36</v>
      </c>
      <c r="C85" s="195">
        <v>0</v>
      </c>
      <c r="D85" s="195">
        <v>0</v>
      </c>
      <c r="E85" s="195">
        <f t="shared" si="75"/>
        <v>0</v>
      </c>
      <c r="F85" s="34" t="e">
        <f t="shared" si="76"/>
        <v>#DIV/0!</v>
      </c>
      <c r="G85" s="196">
        <v>0</v>
      </c>
      <c r="H85" s="191">
        <v>0</v>
      </c>
      <c r="I85" s="39" t="e">
        <f t="shared" si="77"/>
        <v>#DIV/0!</v>
      </c>
      <c r="J85" s="195">
        <v>0</v>
      </c>
      <c r="K85" s="191">
        <f t="shared" si="78"/>
        <v>0</v>
      </c>
      <c r="L85" s="40" t="e">
        <f t="shared" si="79"/>
        <v>#DIV/0!</v>
      </c>
      <c r="M85" s="193"/>
      <c r="N85" s="197" t="e">
        <f t="shared" si="80"/>
        <v>#DIV/0!</v>
      </c>
      <c r="O85" s="43">
        <v>0</v>
      </c>
    </row>
    <row r="86" spans="1:15" ht="15" customHeight="1">
      <c r="A86" s="80"/>
      <c r="B86" s="190" t="s">
        <v>133</v>
      </c>
      <c r="C86" s="195">
        <v>0</v>
      </c>
      <c r="D86" s="195">
        <v>0</v>
      </c>
      <c r="E86" s="195">
        <f t="shared" si="75"/>
        <v>0</v>
      </c>
      <c r="F86" s="34" t="e">
        <f t="shared" si="76"/>
        <v>#DIV/0!</v>
      </c>
      <c r="G86" s="196">
        <v>0</v>
      </c>
      <c r="H86" s="191">
        <v>0</v>
      </c>
      <c r="I86" s="39" t="e">
        <f t="shared" si="77"/>
        <v>#DIV/0!</v>
      </c>
      <c r="J86" s="195">
        <v>0</v>
      </c>
      <c r="K86" s="191">
        <f t="shared" si="78"/>
        <v>0</v>
      </c>
      <c r="L86" s="40" t="e">
        <f t="shared" si="79"/>
        <v>#DIV/0!</v>
      </c>
      <c r="M86" s="193"/>
      <c r="N86" s="197" t="e">
        <f t="shared" si="80"/>
        <v>#DIV/0!</v>
      </c>
      <c r="O86" s="43">
        <v>0</v>
      </c>
    </row>
    <row r="87" spans="1:15" ht="15" customHeight="1">
      <c r="A87" s="80"/>
      <c r="B87" s="190" t="s">
        <v>38</v>
      </c>
      <c r="C87" s="195">
        <v>0</v>
      </c>
      <c r="D87" s="195">
        <v>0</v>
      </c>
      <c r="E87" s="195">
        <f t="shared" si="75"/>
        <v>0</v>
      </c>
      <c r="F87" s="34" t="e">
        <f t="shared" si="76"/>
        <v>#DIV/0!</v>
      </c>
      <c r="G87" s="196">
        <v>0</v>
      </c>
      <c r="H87" s="191">
        <v>0</v>
      </c>
      <c r="I87" s="39" t="e">
        <f t="shared" si="77"/>
        <v>#DIV/0!</v>
      </c>
      <c r="J87" s="195">
        <v>0</v>
      </c>
      <c r="K87" s="191">
        <f t="shared" si="78"/>
        <v>0</v>
      </c>
      <c r="L87" s="40" t="e">
        <f t="shared" si="79"/>
        <v>#DIV/0!</v>
      </c>
      <c r="M87" s="193"/>
      <c r="N87" s="197" t="e">
        <f t="shared" si="80"/>
        <v>#DIV/0!</v>
      </c>
      <c r="O87" s="43">
        <v>0</v>
      </c>
    </row>
    <row r="88" spans="1:15" ht="15" customHeight="1">
      <c r="A88" s="80"/>
      <c r="B88" s="190" t="s">
        <v>40</v>
      </c>
      <c r="C88" s="195">
        <v>0</v>
      </c>
      <c r="D88" s="195">
        <v>0</v>
      </c>
      <c r="E88" s="195">
        <f t="shared" si="75"/>
        <v>0</v>
      </c>
      <c r="F88" s="34" t="e">
        <f t="shared" si="76"/>
        <v>#DIV/0!</v>
      </c>
      <c r="G88" s="196">
        <v>0</v>
      </c>
      <c r="H88" s="191">
        <v>0</v>
      </c>
      <c r="I88" s="39" t="e">
        <f t="shared" si="77"/>
        <v>#DIV/0!</v>
      </c>
      <c r="J88" s="195">
        <v>0</v>
      </c>
      <c r="K88" s="191">
        <f t="shared" si="78"/>
        <v>0</v>
      </c>
      <c r="L88" s="40" t="e">
        <f t="shared" si="79"/>
        <v>#DIV/0!</v>
      </c>
      <c r="M88" s="193"/>
      <c r="N88" s="197" t="e">
        <f t="shared" si="80"/>
        <v>#DIV/0!</v>
      </c>
      <c r="O88" s="43">
        <v>0</v>
      </c>
    </row>
    <row r="89" spans="1:15" ht="15" customHeight="1">
      <c r="A89" s="80"/>
      <c r="B89" s="190" t="s">
        <v>41</v>
      </c>
      <c r="C89" s="195">
        <v>0</v>
      </c>
      <c r="D89" s="195">
        <v>0</v>
      </c>
      <c r="E89" s="195">
        <f t="shared" si="75"/>
        <v>0</v>
      </c>
      <c r="F89" s="34" t="e">
        <f t="shared" si="76"/>
        <v>#DIV/0!</v>
      </c>
      <c r="G89" s="196">
        <v>0</v>
      </c>
      <c r="H89" s="191">
        <v>0</v>
      </c>
      <c r="I89" s="39" t="e">
        <f t="shared" si="77"/>
        <v>#DIV/0!</v>
      </c>
      <c r="J89" s="195">
        <v>0</v>
      </c>
      <c r="K89" s="191">
        <f t="shared" si="78"/>
        <v>0</v>
      </c>
      <c r="L89" s="40" t="e">
        <f t="shared" si="79"/>
        <v>#DIV/0!</v>
      </c>
      <c r="M89" s="193"/>
      <c r="N89" s="197" t="e">
        <f t="shared" si="80"/>
        <v>#DIV/0!</v>
      </c>
      <c r="O89" s="43">
        <v>0</v>
      </c>
    </row>
    <row r="90" spans="1:15" ht="15" customHeight="1">
      <c r="A90" s="80"/>
      <c r="B90" s="190" t="s">
        <v>42</v>
      </c>
      <c r="C90" s="195">
        <v>0</v>
      </c>
      <c r="D90" s="195">
        <v>0</v>
      </c>
      <c r="E90" s="195">
        <f t="shared" si="75"/>
        <v>0</v>
      </c>
      <c r="F90" s="34" t="e">
        <f t="shared" si="76"/>
        <v>#DIV/0!</v>
      </c>
      <c r="G90" s="196">
        <v>0</v>
      </c>
      <c r="H90" s="191">
        <v>0</v>
      </c>
      <c r="I90" s="39" t="e">
        <f t="shared" si="77"/>
        <v>#DIV/0!</v>
      </c>
      <c r="J90" s="195">
        <v>0</v>
      </c>
      <c r="K90" s="191">
        <f t="shared" si="78"/>
        <v>0</v>
      </c>
      <c r="L90" s="40" t="e">
        <f t="shared" si="79"/>
        <v>#DIV/0!</v>
      </c>
      <c r="M90" s="198">
        <v>0</v>
      </c>
      <c r="N90" s="197" t="e">
        <f t="shared" si="80"/>
        <v>#DIV/0!</v>
      </c>
      <c r="O90" s="43">
        <v>0</v>
      </c>
    </row>
    <row r="91" spans="1:15" ht="15" customHeight="1">
      <c r="A91" s="80"/>
      <c r="B91" s="190"/>
      <c r="C91" s="191"/>
      <c r="D91" s="191"/>
      <c r="E91" s="191"/>
      <c r="F91" s="191"/>
      <c r="G91" s="191"/>
      <c r="H91" s="191"/>
      <c r="I91" s="191"/>
      <c r="J91" s="191"/>
      <c r="K91" s="191"/>
      <c r="L91" s="192"/>
      <c r="M91" s="193"/>
      <c r="N91" s="197"/>
      <c r="O91" s="43"/>
    </row>
    <row r="92" spans="1:15" ht="15.75" customHeight="1" thickBot="1">
      <c r="A92" s="80"/>
      <c r="B92" s="199" t="s">
        <v>45</v>
      </c>
      <c r="C92" s="200">
        <f t="shared" ref="C92:D92" si="81">SUM(C84:C91)</f>
        <v>0</v>
      </c>
      <c r="D92" s="200">
        <f t="shared" si="81"/>
        <v>0</v>
      </c>
      <c r="E92" s="200">
        <f t="shared" ref="E92:E96" si="82">C92-D92</f>
        <v>0</v>
      </c>
      <c r="F92" s="34" t="e">
        <f t="shared" ref="F92:F96" si="83">E92%/D92*100</f>
        <v>#DIV/0!</v>
      </c>
      <c r="G92" s="200">
        <f>SUM(G84:G91)</f>
        <v>0</v>
      </c>
      <c r="H92" s="201">
        <f>SUM(H84:H90)</f>
        <v>0</v>
      </c>
      <c r="I92" s="202" t="e">
        <f t="shared" ref="I92:I96" si="84">H92%/D92*100</f>
        <v>#DIV/0!</v>
      </c>
      <c r="J92" s="200">
        <f>SUM(J84:J91)</f>
        <v>0</v>
      </c>
      <c r="K92" s="201">
        <f t="shared" ref="K92:K96" si="85">J92*11.5</f>
        <v>0</v>
      </c>
      <c r="L92" s="203" t="e">
        <f t="shared" ref="L92:L96" si="86">K92%/D92*100</f>
        <v>#DIV/0!</v>
      </c>
      <c r="M92" s="204"/>
      <c r="N92" s="205" t="e">
        <f t="shared" ref="N92:N96" si="87">I92+L92</f>
        <v>#DIV/0!</v>
      </c>
      <c r="O92" s="63"/>
    </row>
    <row r="93" spans="1:15" ht="15.5">
      <c r="A93" s="80"/>
      <c r="B93" s="206" t="s">
        <v>39</v>
      </c>
      <c r="C93" s="207">
        <v>0</v>
      </c>
      <c r="D93" s="207">
        <v>0</v>
      </c>
      <c r="E93" s="207">
        <f t="shared" si="82"/>
        <v>0</v>
      </c>
      <c r="F93" s="34" t="e">
        <f t="shared" si="83"/>
        <v>#DIV/0!</v>
      </c>
      <c r="G93" s="208">
        <v>0</v>
      </c>
      <c r="H93" s="209">
        <v>0</v>
      </c>
      <c r="I93" s="210" t="e">
        <f t="shared" si="84"/>
        <v>#DIV/0!</v>
      </c>
      <c r="J93" s="207">
        <v>0</v>
      </c>
      <c r="K93" s="209">
        <f t="shared" si="85"/>
        <v>0</v>
      </c>
      <c r="L93" s="211" t="e">
        <f t="shared" si="86"/>
        <v>#DIV/0!</v>
      </c>
      <c r="M93" s="212"/>
      <c r="N93" s="213" t="e">
        <f t="shared" si="87"/>
        <v>#DIV/0!</v>
      </c>
      <c r="O93" s="214">
        <v>0</v>
      </c>
    </row>
    <row r="94" spans="1:15" ht="15.5">
      <c r="A94" s="80"/>
      <c r="B94" s="190" t="s">
        <v>134</v>
      </c>
      <c r="C94" s="195">
        <v>0</v>
      </c>
      <c r="D94" s="195">
        <v>0</v>
      </c>
      <c r="E94" s="195">
        <f t="shared" si="82"/>
        <v>0</v>
      </c>
      <c r="F94" s="34" t="e">
        <f t="shared" si="83"/>
        <v>#DIV/0!</v>
      </c>
      <c r="G94" s="196">
        <v>0</v>
      </c>
      <c r="H94" s="191">
        <v>0</v>
      </c>
      <c r="I94" s="34" t="e">
        <f t="shared" si="84"/>
        <v>#DIV/0!</v>
      </c>
      <c r="J94" s="195">
        <v>0</v>
      </c>
      <c r="K94" s="191">
        <f t="shared" si="85"/>
        <v>0</v>
      </c>
      <c r="L94" s="40" t="e">
        <f t="shared" si="86"/>
        <v>#DIV/0!</v>
      </c>
      <c r="M94" s="193"/>
      <c r="N94" s="197" t="e">
        <f t="shared" si="87"/>
        <v>#DIV/0!</v>
      </c>
      <c r="O94" s="43">
        <v>0</v>
      </c>
    </row>
    <row r="95" spans="1:15" ht="16" thickBot="1">
      <c r="A95" s="80"/>
      <c r="B95" s="215" t="s">
        <v>44</v>
      </c>
      <c r="C95" s="216">
        <v>0</v>
      </c>
      <c r="D95" s="216">
        <v>0</v>
      </c>
      <c r="E95" s="216">
        <f t="shared" si="82"/>
        <v>0</v>
      </c>
      <c r="F95" s="34" t="e">
        <f t="shared" si="83"/>
        <v>#DIV/0!</v>
      </c>
      <c r="G95" s="217">
        <v>0</v>
      </c>
      <c r="H95" s="218">
        <v>0</v>
      </c>
      <c r="I95" s="219" t="e">
        <f t="shared" si="84"/>
        <v>#DIV/0!</v>
      </c>
      <c r="J95" s="216">
        <v>0</v>
      </c>
      <c r="K95" s="18">
        <f t="shared" si="85"/>
        <v>0</v>
      </c>
      <c r="L95" s="220" t="e">
        <f t="shared" si="86"/>
        <v>#DIV/0!</v>
      </c>
      <c r="M95" s="193"/>
      <c r="N95" s="197" t="e">
        <f t="shared" si="87"/>
        <v>#DIV/0!</v>
      </c>
      <c r="O95" s="43">
        <v>0</v>
      </c>
    </row>
    <row r="96" spans="1:15" ht="16" thickBot="1">
      <c r="A96" s="221"/>
      <c r="B96" s="222" t="s">
        <v>66</v>
      </c>
      <c r="C96" s="223">
        <f t="shared" ref="C96:D96" si="88">SUM(C92:C95)</f>
        <v>0</v>
      </c>
      <c r="D96" s="223">
        <f t="shared" si="88"/>
        <v>0</v>
      </c>
      <c r="E96" s="223">
        <f t="shared" si="82"/>
        <v>0</v>
      </c>
      <c r="F96" s="224" t="e">
        <f t="shared" si="83"/>
        <v>#DIV/0!</v>
      </c>
      <c r="G96" s="223">
        <f t="shared" ref="G96:H96" si="89">SUM(G92:G95)</f>
        <v>0</v>
      </c>
      <c r="H96" s="223">
        <f t="shared" si="89"/>
        <v>0</v>
      </c>
      <c r="I96" s="224" t="e">
        <f t="shared" si="84"/>
        <v>#DIV/0!</v>
      </c>
      <c r="J96" s="223">
        <f>SUM(J92:J95)</f>
        <v>0</v>
      </c>
      <c r="K96" s="225">
        <f t="shared" si="85"/>
        <v>0</v>
      </c>
      <c r="L96" s="226" t="e">
        <f t="shared" si="86"/>
        <v>#DIV/0!</v>
      </c>
      <c r="M96" s="227"/>
      <c r="N96" s="228" t="e">
        <f t="shared" si="87"/>
        <v>#DIV/0!</v>
      </c>
      <c r="O96" s="229"/>
    </row>
    <row r="97" spans="1:15" ht="16" thickBot="1">
      <c r="C97" s="237"/>
    </row>
    <row r="98" spans="1:15" ht="31">
      <c r="A98" s="185">
        <v>46204</v>
      </c>
      <c r="B98" s="13" t="s">
        <v>1</v>
      </c>
      <c r="C98" s="186" t="s">
        <v>121</v>
      </c>
      <c r="D98" s="186" t="s">
        <v>122</v>
      </c>
      <c r="E98" s="186" t="s">
        <v>123</v>
      </c>
      <c r="F98" s="186" t="s">
        <v>124</v>
      </c>
      <c r="G98" s="186" t="s">
        <v>9</v>
      </c>
      <c r="H98" s="186" t="s">
        <v>125</v>
      </c>
      <c r="I98" s="186" t="s">
        <v>126</v>
      </c>
      <c r="J98" s="186" t="s">
        <v>127</v>
      </c>
      <c r="K98" s="186" t="s">
        <v>128</v>
      </c>
      <c r="L98" s="187" t="s">
        <v>129</v>
      </c>
      <c r="M98" s="188" t="s">
        <v>130</v>
      </c>
      <c r="N98" s="189" t="s">
        <v>131</v>
      </c>
      <c r="O98" s="14" t="s">
        <v>132</v>
      </c>
    </row>
    <row r="99" spans="1:15" ht="15" customHeight="1">
      <c r="A99" s="80"/>
      <c r="B99" s="190"/>
      <c r="C99" s="191"/>
      <c r="D99" s="191"/>
      <c r="E99" s="191"/>
      <c r="F99" s="191"/>
      <c r="G99" s="191"/>
      <c r="H99" s="191"/>
      <c r="I99" s="191"/>
      <c r="J99" s="191"/>
      <c r="K99" s="191"/>
      <c r="L99" s="192"/>
      <c r="M99" s="193"/>
      <c r="N99" s="194"/>
      <c r="O99" s="30"/>
    </row>
    <row r="100" spans="1:15" ht="15" customHeight="1">
      <c r="A100" s="80"/>
      <c r="B100" s="190" t="s">
        <v>35</v>
      </c>
      <c r="C100" s="195">
        <v>0</v>
      </c>
      <c r="D100" s="195">
        <v>0</v>
      </c>
      <c r="E100" s="195">
        <f t="shared" ref="E100:E106" si="90">C100-D100</f>
        <v>0</v>
      </c>
      <c r="F100" s="34" t="e">
        <f t="shared" ref="F100:F106" si="91">E100%/D100*100</f>
        <v>#DIV/0!</v>
      </c>
      <c r="G100" s="196">
        <v>0</v>
      </c>
      <c r="H100" s="191">
        <v>0</v>
      </c>
      <c r="I100" s="39" t="e">
        <f t="shared" ref="I100:I106" si="92">H100%/D100*100</f>
        <v>#DIV/0!</v>
      </c>
      <c r="J100" s="195">
        <v>0</v>
      </c>
      <c r="K100" s="191">
        <f t="shared" ref="K100:K106" si="93">J100*11.5</f>
        <v>0</v>
      </c>
      <c r="L100" s="40" t="e">
        <f t="shared" ref="L100:L106" si="94">K100%/D100*100</f>
        <v>#DIV/0!</v>
      </c>
      <c r="M100" s="193"/>
      <c r="N100" s="197" t="e">
        <f t="shared" ref="N100:N106" si="95">I100+L100</f>
        <v>#DIV/0!</v>
      </c>
      <c r="O100" s="43">
        <v>0</v>
      </c>
    </row>
    <row r="101" spans="1:15" ht="15" customHeight="1">
      <c r="A101" s="80"/>
      <c r="B101" s="190" t="s">
        <v>36</v>
      </c>
      <c r="C101" s="195">
        <v>0</v>
      </c>
      <c r="D101" s="195">
        <v>0</v>
      </c>
      <c r="E101" s="195">
        <f t="shared" si="90"/>
        <v>0</v>
      </c>
      <c r="F101" s="34" t="e">
        <f t="shared" si="91"/>
        <v>#DIV/0!</v>
      </c>
      <c r="G101" s="196">
        <v>0</v>
      </c>
      <c r="H101" s="191">
        <v>0</v>
      </c>
      <c r="I101" s="39" t="e">
        <f t="shared" si="92"/>
        <v>#DIV/0!</v>
      </c>
      <c r="J101" s="195">
        <v>0</v>
      </c>
      <c r="K101" s="191">
        <f t="shared" si="93"/>
        <v>0</v>
      </c>
      <c r="L101" s="40" t="e">
        <f t="shared" si="94"/>
        <v>#DIV/0!</v>
      </c>
      <c r="M101" s="193"/>
      <c r="N101" s="197" t="e">
        <f t="shared" si="95"/>
        <v>#DIV/0!</v>
      </c>
      <c r="O101" s="43">
        <v>0</v>
      </c>
    </row>
    <row r="102" spans="1:15" ht="15" customHeight="1">
      <c r="A102" s="80"/>
      <c r="B102" s="190" t="s">
        <v>133</v>
      </c>
      <c r="C102" s="195">
        <v>0</v>
      </c>
      <c r="D102" s="195">
        <v>0</v>
      </c>
      <c r="E102" s="195">
        <f t="shared" si="90"/>
        <v>0</v>
      </c>
      <c r="F102" s="34" t="e">
        <f t="shared" si="91"/>
        <v>#DIV/0!</v>
      </c>
      <c r="G102" s="196">
        <v>0</v>
      </c>
      <c r="H102" s="191">
        <v>0</v>
      </c>
      <c r="I102" s="39" t="e">
        <f t="shared" si="92"/>
        <v>#DIV/0!</v>
      </c>
      <c r="J102" s="195">
        <v>0</v>
      </c>
      <c r="K102" s="191">
        <f t="shared" si="93"/>
        <v>0</v>
      </c>
      <c r="L102" s="40" t="e">
        <f t="shared" si="94"/>
        <v>#DIV/0!</v>
      </c>
      <c r="M102" s="193"/>
      <c r="N102" s="197" t="e">
        <f t="shared" si="95"/>
        <v>#DIV/0!</v>
      </c>
      <c r="O102" s="43">
        <v>0</v>
      </c>
    </row>
    <row r="103" spans="1:15" ht="15" customHeight="1">
      <c r="A103" s="80"/>
      <c r="B103" s="190" t="s">
        <v>38</v>
      </c>
      <c r="C103" s="195">
        <v>0</v>
      </c>
      <c r="D103" s="195">
        <v>0</v>
      </c>
      <c r="E103" s="195">
        <f t="shared" si="90"/>
        <v>0</v>
      </c>
      <c r="F103" s="34" t="e">
        <f t="shared" si="91"/>
        <v>#DIV/0!</v>
      </c>
      <c r="G103" s="196">
        <v>0</v>
      </c>
      <c r="H103" s="191">
        <v>0</v>
      </c>
      <c r="I103" s="39" t="e">
        <f t="shared" si="92"/>
        <v>#DIV/0!</v>
      </c>
      <c r="J103" s="195">
        <v>0</v>
      </c>
      <c r="K103" s="191">
        <f t="shared" si="93"/>
        <v>0</v>
      </c>
      <c r="L103" s="40" t="e">
        <f t="shared" si="94"/>
        <v>#DIV/0!</v>
      </c>
      <c r="M103" s="193"/>
      <c r="N103" s="197" t="e">
        <f t="shared" si="95"/>
        <v>#DIV/0!</v>
      </c>
      <c r="O103" s="43">
        <v>0</v>
      </c>
    </row>
    <row r="104" spans="1:15" ht="15" customHeight="1">
      <c r="A104" s="80"/>
      <c r="B104" s="190" t="s">
        <v>40</v>
      </c>
      <c r="C104" s="195">
        <v>0</v>
      </c>
      <c r="D104" s="195">
        <v>0</v>
      </c>
      <c r="E104" s="195">
        <f t="shared" si="90"/>
        <v>0</v>
      </c>
      <c r="F104" s="34" t="e">
        <f t="shared" si="91"/>
        <v>#DIV/0!</v>
      </c>
      <c r="G104" s="196">
        <v>0</v>
      </c>
      <c r="H104" s="191">
        <v>0</v>
      </c>
      <c r="I104" s="39" t="e">
        <f t="shared" si="92"/>
        <v>#DIV/0!</v>
      </c>
      <c r="J104" s="195">
        <v>0</v>
      </c>
      <c r="K104" s="191">
        <f t="shared" si="93"/>
        <v>0</v>
      </c>
      <c r="L104" s="40" t="e">
        <f t="shared" si="94"/>
        <v>#DIV/0!</v>
      </c>
      <c r="M104" s="193"/>
      <c r="N104" s="197" t="e">
        <f t="shared" si="95"/>
        <v>#DIV/0!</v>
      </c>
      <c r="O104" s="43">
        <v>0</v>
      </c>
    </row>
    <row r="105" spans="1:15" ht="15" customHeight="1">
      <c r="A105" s="80"/>
      <c r="B105" s="190" t="s">
        <v>41</v>
      </c>
      <c r="C105" s="195">
        <v>0</v>
      </c>
      <c r="D105" s="195">
        <v>0</v>
      </c>
      <c r="E105" s="195">
        <f t="shared" si="90"/>
        <v>0</v>
      </c>
      <c r="F105" s="34" t="e">
        <f t="shared" si="91"/>
        <v>#DIV/0!</v>
      </c>
      <c r="G105" s="196">
        <v>0</v>
      </c>
      <c r="H105" s="191">
        <v>0</v>
      </c>
      <c r="I105" s="39" t="e">
        <f t="shared" si="92"/>
        <v>#DIV/0!</v>
      </c>
      <c r="J105" s="195">
        <v>0</v>
      </c>
      <c r="K105" s="191">
        <f t="shared" si="93"/>
        <v>0</v>
      </c>
      <c r="L105" s="40" t="e">
        <f t="shared" si="94"/>
        <v>#DIV/0!</v>
      </c>
      <c r="M105" s="193"/>
      <c r="N105" s="197" t="e">
        <f t="shared" si="95"/>
        <v>#DIV/0!</v>
      </c>
      <c r="O105" s="43">
        <v>0</v>
      </c>
    </row>
    <row r="106" spans="1:15" ht="15" customHeight="1">
      <c r="A106" s="80"/>
      <c r="B106" s="190" t="s">
        <v>42</v>
      </c>
      <c r="C106" s="195">
        <v>0</v>
      </c>
      <c r="D106" s="195">
        <v>0</v>
      </c>
      <c r="E106" s="195">
        <f t="shared" si="90"/>
        <v>0</v>
      </c>
      <c r="F106" s="34" t="e">
        <f t="shared" si="91"/>
        <v>#DIV/0!</v>
      </c>
      <c r="G106" s="196">
        <v>0</v>
      </c>
      <c r="H106" s="191">
        <v>0</v>
      </c>
      <c r="I106" s="39" t="e">
        <f t="shared" si="92"/>
        <v>#DIV/0!</v>
      </c>
      <c r="J106" s="195">
        <v>0</v>
      </c>
      <c r="K106" s="191">
        <f t="shared" si="93"/>
        <v>0</v>
      </c>
      <c r="L106" s="40" t="e">
        <f t="shared" si="94"/>
        <v>#DIV/0!</v>
      </c>
      <c r="M106" s="198">
        <v>0</v>
      </c>
      <c r="N106" s="197" t="e">
        <f t="shared" si="95"/>
        <v>#DIV/0!</v>
      </c>
      <c r="O106" s="43">
        <v>0</v>
      </c>
    </row>
    <row r="107" spans="1:15" ht="15" customHeight="1">
      <c r="A107" s="80"/>
      <c r="B107" s="190"/>
      <c r="C107" s="191"/>
      <c r="D107" s="191"/>
      <c r="E107" s="191"/>
      <c r="F107" s="191"/>
      <c r="G107" s="191"/>
      <c r="H107" s="191"/>
      <c r="I107" s="191"/>
      <c r="J107" s="191"/>
      <c r="K107" s="191"/>
      <c r="L107" s="192"/>
      <c r="M107" s="193"/>
      <c r="N107" s="197"/>
      <c r="O107" s="43"/>
    </row>
    <row r="108" spans="1:15" ht="15.75" customHeight="1" thickBot="1">
      <c r="A108" s="80"/>
      <c r="B108" s="199" t="s">
        <v>45</v>
      </c>
      <c r="C108" s="200">
        <f t="shared" ref="C108:D108" si="96">SUM(C100:C107)</f>
        <v>0</v>
      </c>
      <c r="D108" s="200">
        <f t="shared" si="96"/>
        <v>0</v>
      </c>
      <c r="E108" s="200">
        <f t="shared" ref="E108:E112" si="97">C108-D108</f>
        <v>0</v>
      </c>
      <c r="F108" s="34" t="e">
        <f t="shared" ref="F108:F112" si="98">E108%/D108*100</f>
        <v>#DIV/0!</v>
      </c>
      <c r="G108" s="200">
        <f>SUM(G100:G107)</f>
        <v>0</v>
      </c>
      <c r="H108" s="201">
        <f>SUM(H100:H106)</f>
        <v>0</v>
      </c>
      <c r="I108" s="202" t="e">
        <f t="shared" ref="I108:I112" si="99">H108%/D108*100</f>
        <v>#DIV/0!</v>
      </c>
      <c r="J108" s="200">
        <f>SUM(J100:J107)</f>
        <v>0</v>
      </c>
      <c r="K108" s="201">
        <f t="shared" ref="K108:K112" si="100">J108*11.5</f>
        <v>0</v>
      </c>
      <c r="L108" s="203" t="e">
        <f t="shared" ref="L108:L112" si="101">K108%/D108*100</f>
        <v>#DIV/0!</v>
      </c>
      <c r="M108" s="204"/>
      <c r="N108" s="205" t="e">
        <f t="shared" ref="N108:N112" si="102">I108+L108</f>
        <v>#DIV/0!</v>
      </c>
      <c r="O108" s="63"/>
    </row>
    <row r="109" spans="1:15" ht="15.5">
      <c r="A109" s="80"/>
      <c r="B109" s="206" t="s">
        <v>39</v>
      </c>
      <c r="C109" s="207">
        <v>0</v>
      </c>
      <c r="D109" s="207">
        <v>0</v>
      </c>
      <c r="E109" s="207">
        <f t="shared" si="97"/>
        <v>0</v>
      </c>
      <c r="F109" s="34" t="e">
        <f t="shared" si="98"/>
        <v>#DIV/0!</v>
      </c>
      <c r="G109" s="208">
        <v>0</v>
      </c>
      <c r="H109" s="209">
        <v>0</v>
      </c>
      <c r="I109" s="210" t="e">
        <f t="shared" si="99"/>
        <v>#DIV/0!</v>
      </c>
      <c r="J109" s="207">
        <v>0</v>
      </c>
      <c r="K109" s="209">
        <f t="shared" si="100"/>
        <v>0</v>
      </c>
      <c r="L109" s="211" t="e">
        <f t="shared" si="101"/>
        <v>#DIV/0!</v>
      </c>
      <c r="M109" s="212"/>
      <c r="N109" s="213" t="e">
        <f t="shared" si="102"/>
        <v>#DIV/0!</v>
      </c>
      <c r="O109" s="214">
        <v>0</v>
      </c>
    </row>
    <row r="110" spans="1:15" ht="15.5">
      <c r="A110" s="80"/>
      <c r="B110" s="190" t="s">
        <v>134</v>
      </c>
      <c r="C110" s="195">
        <v>0</v>
      </c>
      <c r="D110" s="195">
        <v>0</v>
      </c>
      <c r="E110" s="195">
        <f t="shared" si="97"/>
        <v>0</v>
      </c>
      <c r="F110" s="34" t="e">
        <f t="shared" si="98"/>
        <v>#DIV/0!</v>
      </c>
      <c r="G110" s="196">
        <v>0</v>
      </c>
      <c r="H110" s="191">
        <v>0</v>
      </c>
      <c r="I110" s="34" t="e">
        <f t="shared" si="99"/>
        <v>#DIV/0!</v>
      </c>
      <c r="J110" s="195">
        <v>0</v>
      </c>
      <c r="K110" s="191">
        <f t="shared" si="100"/>
        <v>0</v>
      </c>
      <c r="L110" s="40" t="e">
        <f t="shared" si="101"/>
        <v>#DIV/0!</v>
      </c>
      <c r="M110" s="193"/>
      <c r="N110" s="197" t="e">
        <f t="shared" si="102"/>
        <v>#DIV/0!</v>
      </c>
      <c r="O110" s="43">
        <v>0</v>
      </c>
    </row>
    <row r="111" spans="1:15" ht="16" thickBot="1">
      <c r="A111" s="80"/>
      <c r="B111" s="215" t="s">
        <v>44</v>
      </c>
      <c r="C111" s="216">
        <v>0</v>
      </c>
      <c r="D111" s="216">
        <v>0</v>
      </c>
      <c r="E111" s="216">
        <f t="shared" si="97"/>
        <v>0</v>
      </c>
      <c r="F111" s="34" t="e">
        <f t="shared" si="98"/>
        <v>#DIV/0!</v>
      </c>
      <c r="G111" s="217">
        <v>0</v>
      </c>
      <c r="H111" s="218">
        <v>0</v>
      </c>
      <c r="I111" s="219" t="e">
        <f t="shared" si="99"/>
        <v>#DIV/0!</v>
      </c>
      <c r="J111" s="216">
        <v>0</v>
      </c>
      <c r="K111" s="18">
        <f t="shared" si="100"/>
        <v>0</v>
      </c>
      <c r="L111" s="220" t="e">
        <f t="shared" si="101"/>
        <v>#DIV/0!</v>
      </c>
      <c r="M111" s="193"/>
      <c r="N111" s="197" t="e">
        <f t="shared" si="102"/>
        <v>#DIV/0!</v>
      </c>
      <c r="O111" s="43">
        <v>0</v>
      </c>
    </row>
    <row r="112" spans="1:15" ht="16" thickBot="1">
      <c r="A112" s="221"/>
      <c r="B112" s="222" t="s">
        <v>66</v>
      </c>
      <c r="C112" s="223">
        <f t="shared" ref="C112:D112" si="103">SUM(C108:C111)</f>
        <v>0</v>
      </c>
      <c r="D112" s="223">
        <f t="shared" si="103"/>
        <v>0</v>
      </c>
      <c r="E112" s="223">
        <f t="shared" si="97"/>
        <v>0</v>
      </c>
      <c r="F112" s="224" t="e">
        <f t="shared" si="98"/>
        <v>#DIV/0!</v>
      </c>
      <c r="G112" s="223">
        <f t="shared" ref="G112:H112" si="104">SUM(G108:G111)</f>
        <v>0</v>
      </c>
      <c r="H112" s="223">
        <f t="shared" si="104"/>
        <v>0</v>
      </c>
      <c r="I112" s="224" t="e">
        <f t="shared" si="99"/>
        <v>#DIV/0!</v>
      </c>
      <c r="J112" s="223">
        <f>SUM(J108:J111)</f>
        <v>0</v>
      </c>
      <c r="K112" s="225">
        <f t="shared" si="100"/>
        <v>0</v>
      </c>
      <c r="L112" s="226" t="e">
        <f t="shared" si="101"/>
        <v>#DIV/0!</v>
      </c>
      <c r="M112" s="227"/>
      <c r="N112" s="228" t="e">
        <f t="shared" si="102"/>
        <v>#DIV/0!</v>
      </c>
      <c r="O112" s="229"/>
    </row>
    <row r="113" spans="1:15" ht="15" customHeight="1" thickBot="1"/>
    <row r="114" spans="1:15" ht="31">
      <c r="A114" s="185">
        <v>46235</v>
      </c>
      <c r="B114" s="13" t="s">
        <v>1</v>
      </c>
      <c r="C114" s="186" t="s">
        <v>121</v>
      </c>
      <c r="D114" s="186" t="s">
        <v>122</v>
      </c>
      <c r="E114" s="186" t="s">
        <v>123</v>
      </c>
      <c r="F114" s="186" t="s">
        <v>124</v>
      </c>
      <c r="G114" s="186" t="s">
        <v>9</v>
      </c>
      <c r="H114" s="186" t="s">
        <v>125</v>
      </c>
      <c r="I114" s="186" t="s">
        <v>126</v>
      </c>
      <c r="J114" s="186" t="s">
        <v>127</v>
      </c>
      <c r="K114" s="186" t="s">
        <v>128</v>
      </c>
      <c r="L114" s="187" t="s">
        <v>129</v>
      </c>
      <c r="M114" s="188" t="s">
        <v>130</v>
      </c>
      <c r="N114" s="189" t="s">
        <v>131</v>
      </c>
      <c r="O114" s="14" t="s">
        <v>132</v>
      </c>
    </row>
    <row r="115" spans="1:15" ht="15" customHeight="1">
      <c r="A115" s="80"/>
      <c r="B115" s="190"/>
      <c r="C115" s="191"/>
      <c r="D115" s="191"/>
      <c r="E115" s="191"/>
      <c r="F115" s="191"/>
      <c r="G115" s="191"/>
      <c r="H115" s="191"/>
      <c r="I115" s="191"/>
      <c r="J115" s="191"/>
      <c r="K115" s="191"/>
      <c r="L115" s="192"/>
      <c r="M115" s="193"/>
      <c r="N115" s="194"/>
      <c r="O115" s="30"/>
    </row>
    <row r="116" spans="1:15" ht="15" customHeight="1">
      <c r="A116" s="80"/>
      <c r="B116" s="190" t="s">
        <v>35</v>
      </c>
      <c r="C116" s="195">
        <v>0</v>
      </c>
      <c r="D116" s="195">
        <v>0</v>
      </c>
      <c r="E116" s="195">
        <f t="shared" ref="E116:E122" si="105">C116-D116</f>
        <v>0</v>
      </c>
      <c r="F116" s="34" t="e">
        <f t="shared" ref="F116:F122" si="106">E116%/D116*100</f>
        <v>#DIV/0!</v>
      </c>
      <c r="G116" s="196">
        <v>0</v>
      </c>
      <c r="H116" s="191">
        <v>0</v>
      </c>
      <c r="I116" s="39" t="e">
        <f t="shared" ref="I116:I122" si="107">H116%/D116*100</f>
        <v>#DIV/0!</v>
      </c>
      <c r="J116" s="195">
        <v>0</v>
      </c>
      <c r="K116" s="191">
        <f t="shared" ref="K116:K122" si="108">J116*11.5</f>
        <v>0</v>
      </c>
      <c r="L116" s="40" t="e">
        <f t="shared" ref="L116:L122" si="109">K116%/D116*100</f>
        <v>#DIV/0!</v>
      </c>
      <c r="M116" s="193"/>
      <c r="N116" s="197" t="e">
        <f t="shared" ref="N116:N122" si="110">I116+L116</f>
        <v>#DIV/0!</v>
      </c>
      <c r="O116" s="43">
        <v>0</v>
      </c>
    </row>
    <row r="117" spans="1:15" ht="15" customHeight="1">
      <c r="A117" s="80"/>
      <c r="B117" s="190" t="s">
        <v>36</v>
      </c>
      <c r="C117" s="195">
        <v>0</v>
      </c>
      <c r="D117" s="195">
        <v>0</v>
      </c>
      <c r="E117" s="195">
        <f t="shared" si="105"/>
        <v>0</v>
      </c>
      <c r="F117" s="34" t="e">
        <f t="shared" si="106"/>
        <v>#DIV/0!</v>
      </c>
      <c r="G117" s="196">
        <v>0</v>
      </c>
      <c r="H117" s="191">
        <v>0</v>
      </c>
      <c r="I117" s="39" t="e">
        <f t="shared" si="107"/>
        <v>#DIV/0!</v>
      </c>
      <c r="J117" s="195">
        <v>0</v>
      </c>
      <c r="K117" s="191">
        <f t="shared" si="108"/>
        <v>0</v>
      </c>
      <c r="L117" s="40" t="e">
        <f t="shared" si="109"/>
        <v>#DIV/0!</v>
      </c>
      <c r="M117" s="193"/>
      <c r="N117" s="197" t="e">
        <f t="shared" si="110"/>
        <v>#DIV/0!</v>
      </c>
      <c r="O117" s="43">
        <v>0</v>
      </c>
    </row>
    <row r="118" spans="1:15" ht="15" customHeight="1">
      <c r="A118" s="80"/>
      <c r="B118" s="190" t="s">
        <v>133</v>
      </c>
      <c r="C118" s="195">
        <v>0</v>
      </c>
      <c r="D118" s="195">
        <v>0</v>
      </c>
      <c r="E118" s="195">
        <f t="shared" si="105"/>
        <v>0</v>
      </c>
      <c r="F118" s="34" t="e">
        <f t="shared" si="106"/>
        <v>#DIV/0!</v>
      </c>
      <c r="G118" s="196">
        <v>0</v>
      </c>
      <c r="H118" s="191">
        <v>0</v>
      </c>
      <c r="I118" s="39" t="e">
        <f t="shared" si="107"/>
        <v>#DIV/0!</v>
      </c>
      <c r="J118" s="195">
        <v>0</v>
      </c>
      <c r="K118" s="191">
        <f t="shared" si="108"/>
        <v>0</v>
      </c>
      <c r="L118" s="40" t="e">
        <f t="shared" si="109"/>
        <v>#DIV/0!</v>
      </c>
      <c r="M118" s="193"/>
      <c r="N118" s="197" t="e">
        <f t="shared" si="110"/>
        <v>#DIV/0!</v>
      </c>
      <c r="O118" s="43">
        <v>0</v>
      </c>
    </row>
    <row r="119" spans="1:15" ht="15" customHeight="1">
      <c r="A119" s="80"/>
      <c r="B119" s="190" t="s">
        <v>38</v>
      </c>
      <c r="C119" s="195">
        <v>0</v>
      </c>
      <c r="D119" s="195">
        <v>0</v>
      </c>
      <c r="E119" s="195">
        <f t="shared" si="105"/>
        <v>0</v>
      </c>
      <c r="F119" s="34" t="e">
        <f t="shared" si="106"/>
        <v>#DIV/0!</v>
      </c>
      <c r="G119" s="196">
        <v>0</v>
      </c>
      <c r="H119" s="191">
        <v>0</v>
      </c>
      <c r="I119" s="39" t="e">
        <f t="shared" si="107"/>
        <v>#DIV/0!</v>
      </c>
      <c r="J119" s="195">
        <v>0</v>
      </c>
      <c r="K119" s="191">
        <f t="shared" si="108"/>
        <v>0</v>
      </c>
      <c r="L119" s="40" t="e">
        <f t="shared" si="109"/>
        <v>#DIV/0!</v>
      </c>
      <c r="M119" s="193"/>
      <c r="N119" s="197" t="e">
        <f t="shared" si="110"/>
        <v>#DIV/0!</v>
      </c>
      <c r="O119" s="43">
        <v>0</v>
      </c>
    </row>
    <row r="120" spans="1:15" ht="15" customHeight="1">
      <c r="A120" s="80"/>
      <c r="B120" s="190" t="s">
        <v>40</v>
      </c>
      <c r="C120" s="195">
        <v>0</v>
      </c>
      <c r="D120" s="195">
        <v>0</v>
      </c>
      <c r="E120" s="195">
        <f t="shared" si="105"/>
        <v>0</v>
      </c>
      <c r="F120" s="34" t="e">
        <f t="shared" si="106"/>
        <v>#DIV/0!</v>
      </c>
      <c r="G120" s="196">
        <v>0</v>
      </c>
      <c r="H120" s="191">
        <v>0</v>
      </c>
      <c r="I120" s="39" t="e">
        <f t="shared" si="107"/>
        <v>#DIV/0!</v>
      </c>
      <c r="J120" s="195">
        <v>0</v>
      </c>
      <c r="K120" s="191">
        <f t="shared" si="108"/>
        <v>0</v>
      </c>
      <c r="L120" s="40" t="e">
        <f t="shared" si="109"/>
        <v>#DIV/0!</v>
      </c>
      <c r="M120" s="193"/>
      <c r="N120" s="197" t="e">
        <f t="shared" si="110"/>
        <v>#DIV/0!</v>
      </c>
      <c r="O120" s="43">
        <v>0</v>
      </c>
    </row>
    <row r="121" spans="1:15" ht="15" customHeight="1">
      <c r="A121" s="80"/>
      <c r="B121" s="190" t="s">
        <v>41</v>
      </c>
      <c r="C121" s="195">
        <v>0</v>
      </c>
      <c r="D121" s="195">
        <v>0</v>
      </c>
      <c r="E121" s="195">
        <f t="shared" si="105"/>
        <v>0</v>
      </c>
      <c r="F121" s="34" t="e">
        <f t="shared" si="106"/>
        <v>#DIV/0!</v>
      </c>
      <c r="G121" s="196">
        <v>0</v>
      </c>
      <c r="H121" s="191">
        <v>0</v>
      </c>
      <c r="I121" s="39" t="e">
        <f t="shared" si="107"/>
        <v>#DIV/0!</v>
      </c>
      <c r="J121" s="195">
        <v>0</v>
      </c>
      <c r="K121" s="191">
        <f t="shared" si="108"/>
        <v>0</v>
      </c>
      <c r="L121" s="40" t="e">
        <f t="shared" si="109"/>
        <v>#DIV/0!</v>
      </c>
      <c r="M121" s="193"/>
      <c r="N121" s="197" t="e">
        <f t="shared" si="110"/>
        <v>#DIV/0!</v>
      </c>
      <c r="O121" s="43">
        <v>0</v>
      </c>
    </row>
    <row r="122" spans="1:15" ht="15" customHeight="1">
      <c r="A122" s="80"/>
      <c r="B122" s="190" t="s">
        <v>42</v>
      </c>
      <c r="C122" s="195">
        <v>0</v>
      </c>
      <c r="D122" s="195">
        <v>0</v>
      </c>
      <c r="E122" s="195">
        <f t="shared" si="105"/>
        <v>0</v>
      </c>
      <c r="F122" s="34" t="e">
        <f t="shared" si="106"/>
        <v>#DIV/0!</v>
      </c>
      <c r="G122" s="196">
        <v>0</v>
      </c>
      <c r="H122" s="191">
        <v>0</v>
      </c>
      <c r="I122" s="39" t="e">
        <f t="shared" si="107"/>
        <v>#DIV/0!</v>
      </c>
      <c r="J122" s="195">
        <v>0</v>
      </c>
      <c r="K122" s="191">
        <f t="shared" si="108"/>
        <v>0</v>
      </c>
      <c r="L122" s="40" t="e">
        <f t="shared" si="109"/>
        <v>#DIV/0!</v>
      </c>
      <c r="M122" s="198">
        <v>0</v>
      </c>
      <c r="N122" s="197" t="e">
        <f t="shared" si="110"/>
        <v>#DIV/0!</v>
      </c>
      <c r="O122" s="43">
        <v>0</v>
      </c>
    </row>
    <row r="123" spans="1:15" ht="15" customHeight="1">
      <c r="A123" s="80"/>
      <c r="B123" s="190"/>
      <c r="C123" s="191"/>
      <c r="D123" s="191"/>
      <c r="E123" s="191"/>
      <c r="F123" s="191"/>
      <c r="G123" s="191"/>
      <c r="H123" s="191"/>
      <c r="I123" s="191"/>
      <c r="J123" s="191"/>
      <c r="K123" s="191"/>
      <c r="L123" s="192"/>
      <c r="M123" s="193"/>
      <c r="N123" s="197"/>
      <c r="O123" s="43"/>
    </row>
    <row r="124" spans="1:15" ht="15.75" customHeight="1" thickBot="1">
      <c r="A124" s="80"/>
      <c r="B124" s="199" t="s">
        <v>45</v>
      </c>
      <c r="C124" s="200">
        <f t="shared" ref="C124:D124" si="111">SUM(C116:C123)</f>
        <v>0</v>
      </c>
      <c r="D124" s="200">
        <f t="shared" si="111"/>
        <v>0</v>
      </c>
      <c r="E124" s="200">
        <f t="shared" ref="E124:E128" si="112">C124-D124</f>
        <v>0</v>
      </c>
      <c r="F124" s="34" t="e">
        <f t="shared" ref="F124:F128" si="113">E124%/D124*100</f>
        <v>#DIV/0!</v>
      </c>
      <c r="G124" s="200">
        <f>SUM(G116:G123)</f>
        <v>0</v>
      </c>
      <c r="H124" s="201">
        <f>SUM(H116:H122)</f>
        <v>0</v>
      </c>
      <c r="I124" s="202" t="e">
        <f t="shared" ref="I124:I128" si="114">H124%/D124*100</f>
        <v>#DIV/0!</v>
      </c>
      <c r="J124" s="200">
        <f>SUM(J116:J123)</f>
        <v>0</v>
      </c>
      <c r="K124" s="201">
        <f t="shared" ref="K124:K128" si="115">J124*11.5</f>
        <v>0</v>
      </c>
      <c r="L124" s="203" t="e">
        <f t="shared" ref="L124:L128" si="116">K124%/D124*100</f>
        <v>#DIV/0!</v>
      </c>
      <c r="M124" s="204"/>
      <c r="N124" s="205" t="e">
        <f t="shared" ref="N124:N128" si="117">I124+L124</f>
        <v>#DIV/0!</v>
      </c>
      <c r="O124" s="63"/>
    </row>
    <row r="125" spans="1:15" ht="15.5">
      <c r="A125" s="80"/>
      <c r="B125" s="206" t="s">
        <v>39</v>
      </c>
      <c r="C125" s="207">
        <v>0</v>
      </c>
      <c r="D125" s="207">
        <v>0</v>
      </c>
      <c r="E125" s="207">
        <f t="shared" si="112"/>
        <v>0</v>
      </c>
      <c r="F125" s="34" t="e">
        <f t="shared" si="113"/>
        <v>#DIV/0!</v>
      </c>
      <c r="G125" s="208">
        <v>0</v>
      </c>
      <c r="H125" s="209">
        <v>0</v>
      </c>
      <c r="I125" s="210" t="e">
        <f t="shared" si="114"/>
        <v>#DIV/0!</v>
      </c>
      <c r="J125" s="207">
        <v>0</v>
      </c>
      <c r="K125" s="209">
        <f t="shared" si="115"/>
        <v>0</v>
      </c>
      <c r="L125" s="211" t="e">
        <f t="shared" si="116"/>
        <v>#DIV/0!</v>
      </c>
      <c r="M125" s="212"/>
      <c r="N125" s="213" t="e">
        <f t="shared" si="117"/>
        <v>#DIV/0!</v>
      </c>
      <c r="O125" s="214">
        <v>0</v>
      </c>
    </row>
    <row r="126" spans="1:15" ht="15.5">
      <c r="A126" s="80"/>
      <c r="B126" s="190" t="s">
        <v>134</v>
      </c>
      <c r="C126" s="195">
        <v>0</v>
      </c>
      <c r="D126" s="195">
        <v>0</v>
      </c>
      <c r="E126" s="195">
        <f t="shared" si="112"/>
        <v>0</v>
      </c>
      <c r="F126" s="34" t="e">
        <f t="shared" si="113"/>
        <v>#DIV/0!</v>
      </c>
      <c r="G126" s="196">
        <v>0</v>
      </c>
      <c r="H126" s="191">
        <v>0</v>
      </c>
      <c r="I126" s="34" t="e">
        <f t="shared" si="114"/>
        <v>#DIV/0!</v>
      </c>
      <c r="J126" s="195">
        <v>0</v>
      </c>
      <c r="K126" s="191">
        <f t="shared" si="115"/>
        <v>0</v>
      </c>
      <c r="L126" s="40" t="e">
        <f t="shared" si="116"/>
        <v>#DIV/0!</v>
      </c>
      <c r="M126" s="193"/>
      <c r="N126" s="197" t="e">
        <f t="shared" si="117"/>
        <v>#DIV/0!</v>
      </c>
      <c r="O126" s="43">
        <v>0</v>
      </c>
    </row>
    <row r="127" spans="1:15" ht="16" thickBot="1">
      <c r="A127" s="80"/>
      <c r="B127" s="215" t="s">
        <v>44</v>
      </c>
      <c r="C127" s="216">
        <v>0</v>
      </c>
      <c r="D127" s="216">
        <v>0</v>
      </c>
      <c r="E127" s="216">
        <f t="shared" si="112"/>
        <v>0</v>
      </c>
      <c r="F127" s="34" t="e">
        <f t="shared" si="113"/>
        <v>#DIV/0!</v>
      </c>
      <c r="G127" s="217">
        <v>0</v>
      </c>
      <c r="H127" s="218">
        <v>0</v>
      </c>
      <c r="I127" s="219" t="e">
        <f t="shared" si="114"/>
        <v>#DIV/0!</v>
      </c>
      <c r="J127" s="216">
        <v>0</v>
      </c>
      <c r="K127" s="18">
        <f t="shared" si="115"/>
        <v>0</v>
      </c>
      <c r="L127" s="220" t="e">
        <f t="shared" si="116"/>
        <v>#DIV/0!</v>
      </c>
      <c r="M127" s="193"/>
      <c r="N127" s="197" t="e">
        <f t="shared" si="117"/>
        <v>#DIV/0!</v>
      </c>
      <c r="O127" s="43">
        <v>0</v>
      </c>
    </row>
    <row r="128" spans="1:15" ht="16" thickBot="1">
      <c r="A128" s="221"/>
      <c r="B128" s="222" t="s">
        <v>66</v>
      </c>
      <c r="C128" s="223">
        <f t="shared" ref="C128:D128" si="118">SUM(C124:C127)</f>
        <v>0</v>
      </c>
      <c r="D128" s="223">
        <f t="shared" si="118"/>
        <v>0</v>
      </c>
      <c r="E128" s="223">
        <f t="shared" si="112"/>
        <v>0</v>
      </c>
      <c r="F128" s="224" t="e">
        <f t="shared" si="113"/>
        <v>#DIV/0!</v>
      </c>
      <c r="G128" s="223">
        <f t="shared" ref="G128:H128" si="119">SUM(G124:G127)</f>
        <v>0</v>
      </c>
      <c r="H128" s="223">
        <f t="shared" si="119"/>
        <v>0</v>
      </c>
      <c r="I128" s="224" t="e">
        <f t="shared" si="114"/>
        <v>#DIV/0!</v>
      </c>
      <c r="J128" s="223">
        <f>SUM(J124:J127)</f>
        <v>0</v>
      </c>
      <c r="K128" s="225">
        <f t="shared" si="115"/>
        <v>0</v>
      </c>
      <c r="L128" s="226" t="e">
        <f t="shared" si="116"/>
        <v>#DIV/0!</v>
      </c>
      <c r="M128" s="227"/>
      <c r="N128" s="228" t="e">
        <f t="shared" si="117"/>
        <v>#DIV/0!</v>
      </c>
      <c r="O128" s="229"/>
    </row>
    <row r="129" spans="1:15" ht="15" customHeight="1" thickBot="1"/>
    <row r="130" spans="1:15" ht="31">
      <c r="A130" s="185">
        <v>46266</v>
      </c>
      <c r="B130" s="13" t="s">
        <v>1</v>
      </c>
      <c r="C130" s="186" t="s">
        <v>121</v>
      </c>
      <c r="D130" s="186" t="s">
        <v>122</v>
      </c>
      <c r="E130" s="186" t="s">
        <v>123</v>
      </c>
      <c r="F130" s="186" t="s">
        <v>124</v>
      </c>
      <c r="G130" s="186" t="s">
        <v>9</v>
      </c>
      <c r="H130" s="186" t="s">
        <v>125</v>
      </c>
      <c r="I130" s="186" t="s">
        <v>126</v>
      </c>
      <c r="J130" s="186" t="s">
        <v>127</v>
      </c>
      <c r="K130" s="186" t="s">
        <v>128</v>
      </c>
      <c r="L130" s="187" t="s">
        <v>129</v>
      </c>
      <c r="M130" s="188" t="s">
        <v>130</v>
      </c>
      <c r="N130" s="189" t="s">
        <v>131</v>
      </c>
      <c r="O130" s="14" t="s">
        <v>132</v>
      </c>
    </row>
    <row r="131" spans="1:15" ht="15" customHeight="1">
      <c r="A131" s="80"/>
      <c r="B131" s="190"/>
      <c r="C131" s="191"/>
      <c r="D131" s="191"/>
      <c r="E131" s="191"/>
      <c r="F131" s="191"/>
      <c r="G131" s="191"/>
      <c r="H131" s="191"/>
      <c r="I131" s="191"/>
      <c r="J131" s="191"/>
      <c r="K131" s="191"/>
      <c r="L131" s="192"/>
      <c r="M131" s="193"/>
      <c r="N131" s="194"/>
      <c r="O131" s="30"/>
    </row>
    <row r="132" spans="1:15" ht="15" customHeight="1">
      <c r="A132" s="80"/>
      <c r="B132" s="190" t="s">
        <v>35</v>
      </c>
      <c r="C132" s="195">
        <v>0</v>
      </c>
      <c r="D132" s="195">
        <v>0</v>
      </c>
      <c r="E132" s="195">
        <f t="shared" ref="E132:E138" si="120">C132-D132</f>
        <v>0</v>
      </c>
      <c r="F132" s="34" t="e">
        <f t="shared" ref="F132:F138" si="121">E132%/D132*100</f>
        <v>#DIV/0!</v>
      </c>
      <c r="G132" s="196">
        <v>0</v>
      </c>
      <c r="H132" s="191">
        <v>0</v>
      </c>
      <c r="I132" s="39" t="e">
        <f t="shared" ref="I132:I138" si="122">H132%/D132*100</f>
        <v>#DIV/0!</v>
      </c>
      <c r="J132" s="195">
        <v>0</v>
      </c>
      <c r="K132" s="191">
        <f t="shared" ref="K132:K138" si="123">J132*11.5</f>
        <v>0</v>
      </c>
      <c r="L132" s="40" t="e">
        <f t="shared" ref="L132:L138" si="124">K132%/D132*100</f>
        <v>#DIV/0!</v>
      </c>
      <c r="M132" s="193"/>
      <c r="N132" s="197" t="e">
        <f t="shared" ref="N132:N138" si="125">I132+L132</f>
        <v>#DIV/0!</v>
      </c>
      <c r="O132" s="43">
        <v>0</v>
      </c>
    </row>
    <row r="133" spans="1:15" ht="15" customHeight="1">
      <c r="A133" s="80"/>
      <c r="B133" s="190" t="s">
        <v>36</v>
      </c>
      <c r="C133" s="195">
        <v>0</v>
      </c>
      <c r="D133" s="195">
        <v>0</v>
      </c>
      <c r="E133" s="195">
        <f t="shared" si="120"/>
        <v>0</v>
      </c>
      <c r="F133" s="34" t="e">
        <f t="shared" si="121"/>
        <v>#DIV/0!</v>
      </c>
      <c r="G133" s="196">
        <v>0</v>
      </c>
      <c r="H133" s="191">
        <v>0</v>
      </c>
      <c r="I133" s="39" t="e">
        <f t="shared" si="122"/>
        <v>#DIV/0!</v>
      </c>
      <c r="J133" s="195">
        <v>0</v>
      </c>
      <c r="K133" s="191">
        <f t="shared" si="123"/>
        <v>0</v>
      </c>
      <c r="L133" s="40" t="e">
        <f t="shared" si="124"/>
        <v>#DIV/0!</v>
      </c>
      <c r="M133" s="193"/>
      <c r="N133" s="197" t="e">
        <f t="shared" si="125"/>
        <v>#DIV/0!</v>
      </c>
      <c r="O133" s="43">
        <v>0</v>
      </c>
    </row>
    <row r="134" spans="1:15" ht="15" customHeight="1">
      <c r="A134" s="80"/>
      <c r="B134" s="190" t="s">
        <v>133</v>
      </c>
      <c r="C134" s="195">
        <v>0</v>
      </c>
      <c r="D134" s="195">
        <v>0</v>
      </c>
      <c r="E134" s="195">
        <f t="shared" si="120"/>
        <v>0</v>
      </c>
      <c r="F134" s="34" t="e">
        <f t="shared" si="121"/>
        <v>#DIV/0!</v>
      </c>
      <c r="G134" s="196">
        <v>0</v>
      </c>
      <c r="H134" s="191">
        <v>0</v>
      </c>
      <c r="I134" s="39" t="e">
        <f t="shared" si="122"/>
        <v>#DIV/0!</v>
      </c>
      <c r="J134" s="195">
        <v>0</v>
      </c>
      <c r="K134" s="191">
        <f t="shared" si="123"/>
        <v>0</v>
      </c>
      <c r="L134" s="40" t="e">
        <f t="shared" si="124"/>
        <v>#DIV/0!</v>
      </c>
      <c r="M134" s="193"/>
      <c r="N134" s="197" t="e">
        <f t="shared" si="125"/>
        <v>#DIV/0!</v>
      </c>
      <c r="O134" s="43">
        <v>0</v>
      </c>
    </row>
    <row r="135" spans="1:15" ht="15" customHeight="1">
      <c r="A135" s="80"/>
      <c r="B135" s="190" t="s">
        <v>38</v>
      </c>
      <c r="C135" s="195">
        <v>0</v>
      </c>
      <c r="D135" s="195">
        <v>0</v>
      </c>
      <c r="E135" s="195">
        <f t="shared" si="120"/>
        <v>0</v>
      </c>
      <c r="F135" s="34" t="e">
        <f t="shared" si="121"/>
        <v>#DIV/0!</v>
      </c>
      <c r="G135" s="196">
        <v>0</v>
      </c>
      <c r="H135" s="191">
        <v>0</v>
      </c>
      <c r="I135" s="39" t="e">
        <f t="shared" si="122"/>
        <v>#DIV/0!</v>
      </c>
      <c r="J135" s="195">
        <v>0</v>
      </c>
      <c r="K135" s="191">
        <f t="shared" si="123"/>
        <v>0</v>
      </c>
      <c r="L135" s="40" t="e">
        <f t="shared" si="124"/>
        <v>#DIV/0!</v>
      </c>
      <c r="M135" s="193"/>
      <c r="N135" s="197" t="e">
        <f t="shared" si="125"/>
        <v>#DIV/0!</v>
      </c>
      <c r="O135" s="43">
        <v>0</v>
      </c>
    </row>
    <row r="136" spans="1:15" ht="15" customHeight="1">
      <c r="A136" s="80"/>
      <c r="B136" s="190" t="s">
        <v>40</v>
      </c>
      <c r="C136" s="195">
        <v>0</v>
      </c>
      <c r="D136" s="195">
        <v>0</v>
      </c>
      <c r="E136" s="195">
        <f t="shared" si="120"/>
        <v>0</v>
      </c>
      <c r="F136" s="34" t="e">
        <f t="shared" si="121"/>
        <v>#DIV/0!</v>
      </c>
      <c r="G136" s="196">
        <v>0</v>
      </c>
      <c r="H136" s="191">
        <v>0</v>
      </c>
      <c r="I136" s="39" t="e">
        <f t="shared" si="122"/>
        <v>#DIV/0!</v>
      </c>
      <c r="J136" s="195">
        <v>0</v>
      </c>
      <c r="K136" s="191">
        <f t="shared" si="123"/>
        <v>0</v>
      </c>
      <c r="L136" s="40" t="e">
        <f t="shared" si="124"/>
        <v>#DIV/0!</v>
      </c>
      <c r="M136" s="193"/>
      <c r="N136" s="197" t="e">
        <f t="shared" si="125"/>
        <v>#DIV/0!</v>
      </c>
      <c r="O136" s="43">
        <v>0</v>
      </c>
    </row>
    <row r="137" spans="1:15" ht="15" customHeight="1">
      <c r="A137" s="80"/>
      <c r="B137" s="190" t="s">
        <v>41</v>
      </c>
      <c r="C137" s="195">
        <v>0</v>
      </c>
      <c r="D137" s="195">
        <v>0</v>
      </c>
      <c r="E137" s="195">
        <f t="shared" si="120"/>
        <v>0</v>
      </c>
      <c r="F137" s="34" t="e">
        <f t="shared" si="121"/>
        <v>#DIV/0!</v>
      </c>
      <c r="G137" s="196">
        <v>0</v>
      </c>
      <c r="H137" s="191">
        <v>0</v>
      </c>
      <c r="I137" s="39" t="e">
        <f t="shared" si="122"/>
        <v>#DIV/0!</v>
      </c>
      <c r="J137" s="195">
        <v>0</v>
      </c>
      <c r="K137" s="191">
        <f t="shared" si="123"/>
        <v>0</v>
      </c>
      <c r="L137" s="40" t="e">
        <f t="shared" si="124"/>
        <v>#DIV/0!</v>
      </c>
      <c r="M137" s="193"/>
      <c r="N137" s="197" t="e">
        <f t="shared" si="125"/>
        <v>#DIV/0!</v>
      </c>
      <c r="O137" s="43">
        <v>0</v>
      </c>
    </row>
    <row r="138" spans="1:15" ht="15" customHeight="1">
      <c r="A138" s="80"/>
      <c r="B138" s="190" t="s">
        <v>42</v>
      </c>
      <c r="C138" s="195">
        <v>0</v>
      </c>
      <c r="D138" s="195">
        <v>0</v>
      </c>
      <c r="E138" s="195">
        <f t="shared" si="120"/>
        <v>0</v>
      </c>
      <c r="F138" s="34" t="e">
        <f t="shared" si="121"/>
        <v>#DIV/0!</v>
      </c>
      <c r="G138" s="196">
        <v>0</v>
      </c>
      <c r="H138" s="191">
        <v>0</v>
      </c>
      <c r="I138" s="39" t="e">
        <f t="shared" si="122"/>
        <v>#DIV/0!</v>
      </c>
      <c r="J138" s="195">
        <v>0</v>
      </c>
      <c r="K138" s="191">
        <f t="shared" si="123"/>
        <v>0</v>
      </c>
      <c r="L138" s="40" t="e">
        <f t="shared" si="124"/>
        <v>#DIV/0!</v>
      </c>
      <c r="M138" s="198">
        <v>0</v>
      </c>
      <c r="N138" s="197" t="e">
        <f t="shared" si="125"/>
        <v>#DIV/0!</v>
      </c>
      <c r="O138" s="43">
        <v>0</v>
      </c>
    </row>
    <row r="139" spans="1:15" ht="15" customHeight="1">
      <c r="A139" s="80"/>
      <c r="B139" s="190"/>
      <c r="C139" s="191"/>
      <c r="D139" s="191"/>
      <c r="E139" s="191"/>
      <c r="F139" s="191"/>
      <c r="G139" s="191"/>
      <c r="H139" s="191"/>
      <c r="I139" s="191"/>
      <c r="J139" s="191"/>
      <c r="K139" s="191"/>
      <c r="L139" s="192"/>
      <c r="M139" s="193"/>
      <c r="N139" s="197"/>
      <c r="O139" s="43"/>
    </row>
    <row r="140" spans="1:15" ht="15.75" customHeight="1" thickBot="1">
      <c r="A140" s="80"/>
      <c r="B140" s="199" t="s">
        <v>45</v>
      </c>
      <c r="C140" s="200">
        <f t="shared" ref="C140:D140" si="126">SUM(C132:C139)</f>
        <v>0</v>
      </c>
      <c r="D140" s="200">
        <f t="shared" si="126"/>
        <v>0</v>
      </c>
      <c r="E140" s="200">
        <f t="shared" ref="E140:E144" si="127">C140-D140</f>
        <v>0</v>
      </c>
      <c r="F140" s="34" t="e">
        <f t="shared" ref="F140:F144" si="128">E140%/D140*100</f>
        <v>#DIV/0!</v>
      </c>
      <c r="G140" s="200">
        <f>SUM(G132:G139)</f>
        <v>0</v>
      </c>
      <c r="H140" s="201">
        <f>SUM(H132:H138)</f>
        <v>0</v>
      </c>
      <c r="I140" s="202" t="e">
        <f t="shared" ref="I140:I144" si="129">H140%/D140*100</f>
        <v>#DIV/0!</v>
      </c>
      <c r="J140" s="200">
        <f>SUM(J132:J139)</f>
        <v>0</v>
      </c>
      <c r="K140" s="201">
        <f t="shared" ref="K140:K144" si="130">J140*11.5</f>
        <v>0</v>
      </c>
      <c r="L140" s="203" t="e">
        <f t="shared" ref="L140:L144" si="131">K140%/D140*100</f>
        <v>#DIV/0!</v>
      </c>
      <c r="M140" s="204"/>
      <c r="N140" s="205" t="e">
        <f t="shared" ref="N140:N144" si="132">I140+L140</f>
        <v>#DIV/0!</v>
      </c>
      <c r="O140" s="63"/>
    </row>
    <row r="141" spans="1:15" ht="15.5">
      <c r="A141" s="80"/>
      <c r="B141" s="206" t="s">
        <v>39</v>
      </c>
      <c r="C141" s="207">
        <v>0</v>
      </c>
      <c r="D141" s="207">
        <v>0</v>
      </c>
      <c r="E141" s="207">
        <f t="shared" si="127"/>
        <v>0</v>
      </c>
      <c r="F141" s="34" t="e">
        <f t="shared" si="128"/>
        <v>#DIV/0!</v>
      </c>
      <c r="G141" s="208">
        <v>0</v>
      </c>
      <c r="H141" s="209">
        <v>0</v>
      </c>
      <c r="I141" s="210" t="e">
        <f t="shared" si="129"/>
        <v>#DIV/0!</v>
      </c>
      <c r="J141" s="207">
        <v>0</v>
      </c>
      <c r="K141" s="209">
        <f t="shared" si="130"/>
        <v>0</v>
      </c>
      <c r="L141" s="211" t="e">
        <f t="shared" si="131"/>
        <v>#DIV/0!</v>
      </c>
      <c r="M141" s="212"/>
      <c r="N141" s="213" t="e">
        <f t="shared" si="132"/>
        <v>#DIV/0!</v>
      </c>
      <c r="O141" s="214">
        <v>0</v>
      </c>
    </row>
    <row r="142" spans="1:15" ht="15.5">
      <c r="A142" s="80"/>
      <c r="B142" s="190" t="s">
        <v>134</v>
      </c>
      <c r="C142" s="195">
        <v>0</v>
      </c>
      <c r="D142" s="195">
        <v>0</v>
      </c>
      <c r="E142" s="195">
        <f t="shared" si="127"/>
        <v>0</v>
      </c>
      <c r="F142" s="34" t="e">
        <f t="shared" si="128"/>
        <v>#DIV/0!</v>
      </c>
      <c r="G142" s="196">
        <v>0</v>
      </c>
      <c r="H142" s="191">
        <v>0</v>
      </c>
      <c r="I142" s="34" t="e">
        <f t="shared" si="129"/>
        <v>#DIV/0!</v>
      </c>
      <c r="J142" s="195">
        <v>0</v>
      </c>
      <c r="K142" s="191">
        <f t="shared" si="130"/>
        <v>0</v>
      </c>
      <c r="L142" s="40" t="e">
        <f t="shared" si="131"/>
        <v>#DIV/0!</v>
      </c>
      <c r="M142" s="193"/>
      <c r="N142" s="197" t="e">
        <f t="shared" si="132"/>
        <v>#DIV/0!</v>
      </c>
      <c r="O142" s="43">
        <v>0</v>
      </c>
    </row>
    <row r="143" spans="1:15" ht="16" thickBot="1">
      <c r="A143" s="80"/>
      <c r="B143" s="215" t="s">
        <v>44</v>
      </c>
      <c r="C143" s="216">
        <v>0</v>
      </c>
      <c r="D143" s="216">
        <v>0</v>
      </c>
      <c r="E143" s="216">
        <f t="shared" si="127"/>
        <v>0</v>
      </c>
      <c r="F143" s="34" t="e">
        <f t="shared" si="128"/>
        <v>#DIV/0!</v>
      </c>
      <c r="G143" s="217">
        <v>0</v>
      </c>
      <c r="H143" s="218">
        <v>0</v>
      </c>
      <c r="I143" s="219" t="e">
        <f t="shared" si="129"/>
        <v>#DIV/0!</v>
      </c>
      <c r="J143" s="216">
        <v>0</v>
      </c>
      <c r="K143" s="18">
        <f t="shared" si="130"/>
        <v>0</v>
      </c>
      <c r="L143" s="220" t="e">
        <f t="shared" si="131"/>
        <v>#DIV/0!</v>
      </c>
      <c r="M143" s="193"/>
      <c r="N143" s="197" t="e">
        <f t="shared" si="132"/>
        <v>#DIV/0!</v>
      </c>
      <c r="O143" s="43">
        <v>0</v>
      </c>
    </row>
    <row r="144" spans="1:15" ht="16" thickBot="1">
      <c r="A144" s="221"/>
      <c r="B144" s="222" t="s">
        <v>66</v>
      </c>
      <c r="C144" s="223">
        <f t="shared" ref="C144:D144" si="133">SUM(C140:C143)</f>
        <v>0</v>
      </c>
      <c r="D144" s="223">
        <f t="shared" si="133"/>
        <v>0</v>
      </c>
      <c r="E144" s="223">
        <f t="shared" si="127"/>
        <v>0</v>
      </c>
      <c r="F144" s="224" t="e">
        <f t="shared" si="128"/>
        <v>#DIV/0!</v>
      </c>
      <c r="G144" s="223">
        <f t="shared" ref="G144:H144" si="134">SUM(G140:G143)</f>
        <v>0</v>
      </c>
      <c r="H144" s="223">
        <f t="shared" si="134"/>
        <v>0</v>
      </c>
      <c r="I144" s="224" t="e">
        <f t="shared" si="129"/>
        <v>#DIV/0!</v>
      </c>
      <c r="J144" s="223">
        <f>SUM(J140:J143)</f>
        <v>0</v>
      </c>
      <c r="K144" s="225">
        <f t="shared" si="130"/>
        <v>0</v>
      </c>
      <c r="L144" s="226" t="e">
        <f t="shared" si="131"/>
        <v>#DIV/0!</v>
      </c>
      <c r="M144" s="227"/>
      <c r="N144" s="228" t="e">
        <f t="shared" si="132"/>
        <v>#DIV/0!</v>
      </c>
      <c r="O144" s="229"/>
    </row>
    <row r="145" spans="1:15" ht="15" customHeight="1" thickBot="1"/>
    <row r="146" spans="1:15" ht="31">
      <c r="A146" s="185">
        <v>46296</v>
      </c>
      <c r="B146" s="13" t="s">
        <v>1</v>
      </c>
      <c r="C146" s="186" t="s">
        <v>121</v>
      </c>
      <c r="D146" s="186" t="s">
        <v>122</v>
      </c>
      <c r="E146" s="186" t="s">
        <v>123</v>
      </c>
      <c r="F146" s="186" t="s">
        <v>124</v>
      </c>
      <c r="G146" s="186" t="s">
        <v>9</v>
      </c>
      <c r="H146" s="186" t="s">
        <v>125</v>
      </c>
      <c r="I146" s="186" t="s">
        <v>126</v>
      </c>
      <c r="J146" s="186" t="s">
        <v>127</v>
      </c>
      <c r="K146" s="186" t="s">
        <v>128</v>
      </c>
      <c r="L146" s="187" t="s">
        <v>129</v>
      </c>
      <c r="M146" s="188" t="s">
        <v>130</v>
      </c>
      <c r="N146" s="189" t="s">
        <v>131</v>
      </c>
      <c r="O146" s="14" t="s">
        <v>132</v>
      </c>
    </row>
    <row r="147" spans="1:15" ht="15" customHeight="1">
      <c r="A147" s="80"/>
      <c r="B147" s="190"/>
      <c r="C147" s="191"/>
      <c r="D147" s="191"/>
      <c r="E147" s="191"/>
      <c r="F147" s="191"/>
      <c r="G147" s="191"/>
      <c r="H147" s="191"/>
      <c r="I147" s="191"/>
      <c r="J147" s="191"/>
      <c r="K147" s="191"/>
      <c r="L147" s="192"/>
      <c r="M147" s="193"/>
      <c r="N147" s="194"/>
      <c r="O147" s="30"/>
    </row>
    <row r="148" spans="1:15" ht="15" customHeight="1">
      <c r="A148" s="80"/>
      <c r="B148" s="190" t="s">
        <v>35</v>
      </c>
      <c r="C148" s="195">
        <v>0</v>
      </c>
      <c r="D148" s="195">
        <v>0</v>
      </c>
      <c r="E148" s="195">
        <f t="shared" ref="E148:E154" si="135">C148-D148</f>
        <v>0</v>
      </c>
      <c r="F148" s="34" t="e">
        <f t="shared" ref="F148:F154" si="136">E148%/D148*100</f>
        <v>#DIV/0!</v>
      </c>
      <c r="G148" s="196">
        <v>0</v>
      </c>
      <c r="H148" s="191">
        <v>0</v>
      </c>
      <c r="I148" s="39" t="e">
        <f t="shared" ref="I148:I154" si="137">H148%/D148*100</f>
        <v>#DIV/0!</v>
      </c>
      <c r="J148" s="195">
        <v>0</v>
      </c>
      <c r="K148" s="191">
        <f t="shared" ref="K148:K154" si="138">J148*11.5</f>
        <v>0</v>
      </c>
      <c r="L148" s="40" t="e">
        <f t="shared" ref="L148:L154" si="139">K148%/D148*100</f>
        <v>#DIV/0!</v>
      </c>
      <c r="M148" s="193"/>
      <c r="N148" s="197" t="e">
        <f t="shared" ref="N148:N154" si="140">I148+L148</f>
        <v>#DIV/0!</v>
      </c>
      <c r="O148" s="43">
        <v>0</v>
      </c>
    </row>
    <row r="149" spans="1:15" ht="15" customHeight="1">
      <c r="A149" s="80"/>
      <c r="B149" s="190" t="s">
        <v>36</v>
      </c>
      <c r="C149" s="195">
        <v>0</v>
      </c>
      <c r="D149" s="195">
        <v>0</v>
      </c>
      <c r="E149" s="195">
        <f t="shared" si="135"/>
        <v>0</v>
      </c>
      <c r="F149" s="34" t="e">
        <f t="shared" si="136"/>
        <v>#DIV/0!</v>
      </c>
      <c r="G149" s="196">
        <v>0</v>
      </c>
      <c r="H149" s="191">
        <v>0</v>
      </c>
      <c r="I149" s="39" t="e">
        <f t="shared" si="137"/>
        <v>#DIV/0!</v>
      </c>
      <c r="J149" s="195">
        <v>0</v>
      </c>
      <c r="K149" s="191">
        <f t="shared" si="138"/>
        <v>0</v>
      </c>
      <c r="L149" s="40" t="e">
        <f t="shared" si="139"/>
        <v>#DIV/0!</v>
      </c>
      <c r="M149" s="193"/>
      <c r="N149" s="197" t="e">
        <f t="shared" si="140"/>
        <v>#DIV/0!</v>
      </c>
      <c r="O149" s="43">
        <v>0</v>
      </c>
    </row>
    <row r="150" spans="1:15" ht="15" customHeight="1">
      <c r="A150" s="80"/>
      <c r="B150" s="190" t="s">
        <v>133</v>
      </c>
      <c r="C150" s="195">
        <v>0</v>
      </c>
      <c r="D150" s="195">
        <v>0</v>
      </c>
      <c r="E150" s="195">
        <f t="shared" si="135"/>
        <v>0</v>
      </c>
      <c r="F150" s="34" t="e">
        <f t="shared" si="136"/>
        <v>#DIV/0!</v>
      </c>
      <c r="G150" s="196">
        <v>0</v>
      </c>
      <c r="H150" s="191">
        <v>0</v>
      </c>
      <c r="I150" s="39" t="e">
        <f t="shared" si="137"/>
        <v>#DIV/0!</v>
      </c>
      <c r="J150" s="195">
        <v>0</v>
      </c>
      <c r="K150" s="191">
        <f t="shared" si="138"/>
        <v>0</v>
      </c>
      <c r="L150" s="40" t="e">
        <f t="shared" si="139"/>
        <v>#DIV/0!</v>
      </c>
      <c r="M150" s="193"/>
      <c r="N150" s="197" t="e">
        <f t="shared" si="140"/>
        <v>#DIV/0!</v>
      </c>
      <c r="O150" s="43">
        <v>0</v>
      </c>
    </row>
    <row r="151" spans="1:15" ht="15" customHeight="1">
      <c r="A151" s="80"/>
      <c r="B151" s="190" t="s">
        <v>38</v>
      </c>
      <c r="C151" s="195">
        <v>0</v>
      </c>
      <c r="D151" s="195">
        <v>0</v>
      </c>
      <c r="E151" s="195">
        <f t="shared" si="135"/>
        <v>0</v>
      </c>
      <c r="F151" s="34" t="e">
        <f t="shared" si="136"/>
        <v>#DIV/0!</v>
      </c>
      <c r="G151" s="196">
        <v>0</v>
      </c>
      <c r="H151" s="191">
        <v>0</v>
      </c>
      <c r="I151" s="39" t="e">
        <f t="shared" si="137"/>
        <v>#DIV/0!</v>
      </c>
      <c r="J151" s="195">
        <v>0</v>
      </c>
      <c r="K151" s="191">
        <f t="shared" si="138"/>
        <v>0</v>
      </c>
      <c r="L151" s="40" t="e">
        <f t="shared" si="139"/>
        <v>#DIV/0!</v>
      </c>
      <c r="M151" s="193"/>
      <c r="N151" s="197" t="e">
        <f t="shared" si="140"/>
        <v>#DIV/0!</v>
      </c>
      <c r="O151" s="43">
        <v>0</v>
      </c>
    </row>
    <row r="152" spans="1:15" ht="15" customHeight="1">
      <c r="A152" s="80"/>
      <c r="B152" s="190" t="s">
        <v>40</v>
      </c>
      <c r="C152" s="195">
        <v>0</v>
      </c>
      <c r="D152" s="195">
        <v>0</v>
      </c>
      <c r="E152" s="195">
        <f t="shared" si="135"/>
        <v>0</v>
      </c>
      <c r="F152" s="34" t="e">
        <f t="shared" si="136"/>
        <v>#DIV/0!</v>
      </c>
      <c r="G152" s="196">
        <v>0</v>
      </c>
      <c r="H152" s="191">
        <v>0</v>
      </c>
      <c r="I152" s="39" t="e">
        <f t="shared" si="137"/>
        <v>#DIV/0!</v>
      </c>
      <c r="J152" s="195">
        <v>0</v>
      </c>
      <c r="K152" s="191">
        <f t="shared" si="138"/>
        <v>0</v>
      </c>
      <c r="L152" s="40" t="e">
        <f t="shared" si="139"/>
        <v>#DIV/0!</v>
      </c>
      <c r="M152" s="193"/>
      <c r="N152" s="197" t="e">
        <f t="shared" si="140"/>
        <v>#DIV/0!</v>
      </c>
      <c r="O152" s="43">
        <v>0</v>
      </c>
    </row>
    <row r="153" spans="1:15" ht="15" customHeight="1">
      <c r="A153" s="80"/>
      <c r="B153" s="190" t="s">
        <v>41</v>
      </c>
      <c r="C153" s="195">
        <v>0</v>
      </c>
      <c r="D153" s="195">
        <v>0</v>
      </c>
      <c r="E153" s="195">
        <f t="shared" si="135"/>
        <v>0</v>
      </c>
      <c r="F153" s="34" t="e">
        <f t="shared" si="136"/>
        <v>#DIV/0!</v>
      </c>
      <c r="G153" s="196">
        <v>0</v>
      </c>
      <c r="H153" s="191">
        <v>0</v>
      </c>
      <c r="I153" s="39" t="e">
        <f t="shared" si="137"/>
        <v>#DIV/0!</v>
      </c>
      <c r="J153" s="195">
        <v>0</v>
      </c>
      <c r="K153" s="191">
        <f t="shared" si="138"/>
        <v>0</v>
      </c>
      <c r="L153" s="40" t="e">
        <f t="shared" si="139"/>
        <v>#DIV/0!</v>
      </c>
      <c r="M153" s="193"/>
      <c r="N153" s="197" t="e">
        <f t="shared" si="140"/>
        <v>#DIV/0!</v>
      </c>
      <c r="O153" s="43">
        <v>0</v>
      </c>
    </row>
    <row r="154" spans="1:15" ht="15" customHeight="1">
      <c r="A154" s="80"/>
      <c r="B154" s="190" t="s">
        <v>42</v>
      </c>
      <c r="C154" s="195">
        <v>0</v>
      </c>
      <c r="D154" s="195">
        <v>0</v>
      </c>
      <c r="E154" s="195">
        <f t="shared" si="135"/>
        <v>0</v>
      </c>
      <c r="F154" s="34" t="e">
        <f t="shared" si="136"/>
        <v>#DIV/0!</v>
      </c>
      <c r="G154" s="196">
        <v>0</v>
      </c>
      <c r="H154" s="191">
        <v>0</v>
      </c>
      <c r="I154" s="39" t="e">
        <f t="shared" si="137"/>
        <v>#DIV/0!</v>
      </c>
      <c r="J154" s="195">
        <v>0</v>
      </c>
      <c r="K154" s="191">
        <f t="shared" si="138"/>
        <v>0</v>
      </c>
      <c r="L154" s="40" t="e">
        <f t="shared" si="139"/>
        <v>#DIV/0!</v>
      </c>
      <c r="M154" s="198">
        <v>0</v>
      </c>
      <c r="N154" s="197" t="e">
        <f t="shared" si="140"/>
        <v>#DIV/0!</v>
      </c>
      <c r="O154" s="43">
        <v>0</v>
      </c>
    </row>
    <row r="155" spans="1:15" ht="15" customHeight="1">
      <c r="A155" s="80"/>
      <c r="B155" s="190"/>
      <c r="C155" s="191"/>
      <c r="D155" s="191"/>
      <c r="E155" s="191"/>
      <c r="F155" s="191"/>
      <c r="G155" s="191"/>
      <c r="H155" s="191"/>
      <c r="I155" s="191"/>
      <c r="J155" s="191"/>
      <c r="K155" s="191"/>
      <c r="L155" s="192"/>
      <c r="M155" s="193"/>
      <c r="N155" s="197"/>
      <c r="O155" s="43"/>
    </row>
    <row r="156" spans="1:15" ht="15.75" customHeight="1" thickBot="1">
      <c r="A156" s="80"/>
      <c r="B156" s="199" t="s">
        <v>45</v>
      </c>
      <c r="C156" s="200">
        <f t="shared" ref="C156:D156" si="141">SUM(C148:C155)</f>
        <v>0</v>
      </c>
      <c r="D156" s="200">
        <f t="shared" si="141"/>
        <v>0</v>
      </c>
      <c r="E156" s="200">
        <f t="shared" ref="E156:E160" si="142">C156-D156</f>
        <v>0</v>
      </c>
      <c r="F156" s="34" t="e">
        <f t="shared" ref="F156:F160" si="143">E156%/D156*100</f>
        <v>#DIV/0!</v>
      </c>
      <c r="G156" s="200">
        <f>SUM(G148:G155)</f>
        <v>0</v>
      </c>
      <c r="H156" s="201">
        <f>SUM(H148:H154)</f>
        <v>0</v>
      </c>
      <c r="I156" s="202" t="e">
        <f t="shared" ref="I156:I160" si="144">H156%/D156*100</f>
        <v>#DIV/0!</v>
      </c>
      <c r="J156" s="200">
        <f>SUM(J148:J155)</f>
        <v>0</v>
      </c>
      <c r="K156" s="201">
        <f t="shared" ref="K156:K160" si="145">J156*11.5</f>
        <v>0</v>
      </c>
      <c r="L156" s="203" t="e">
        <f t="shared" ref="L156:L160" si="146">K156%/D156*100</f>
        <v>#DIV/0!</v>
      </c>
      <c r="M156" s="204"/>
      <c r="N156" s="205" t="e">
        <f t="shared" ref="N156:N160" si="147">I156+L156</f>
        <v>#DIV/0!</v>
      </c>
      <c r="O156" s="63"/>
    </row>
    <row r="157" spans="1:15" ht="15.5">
      <c r="A157" s="80"/>
      <c r="B157" s="206" t="s">
        <v>39</v>
      </c>
      <c r="C157" s="207">
        <v>0</v>
      </c>
      <c r="D157" s="207">
        <v>0</v>
      </c>
      <c r="E157" s="207">
        <f t="shared" si="142"/>
        <v>0</v>
      </c>
      <c r="F157" s="34" t="e">
        <f t="shared" si="143"/>
        <v>#DIV/0!</v>
      </c>
      <c r="G157" s="208">
        <v>0</v>
      </c>
      <c r="H157" s="209">
        <v>0</v>
      </c>
      <c r="I157" s="210" t="e">
        <f t="shared" si="144"/>
        <v>#DIV/0!</v>
      </c>
      <c r="J157" s="207">
        <v>0</v>
      </c>
      <c r="K157" s="209">
        <f t="shared" si="145"/>
        <v>0</v>
      </c>
      <c r="L157" s="211" t="e">
        <f t="shared" si="146"/>
        <v>#DIV/0!</v>
      </c>
      <c r="M157" s="212"/>
      <c r="N157" s="213" t="e">
        <f t="shared" si="147"/>
        <v>#DIV/0!</v>
      </c>
      <c r="O157" s="214">
        <v>0</v>
      </c>
    </row>
    <row r="158" spans="1:15" ht="15.5">
      <c r="A158" s="80"/>
      <c r="B158" s="190" t="s">
        <v>134</v>
      </c>
      <c r="C158" s="195">
        <v>0</v>
      </c>
      <c r="D158" s="195">
        <v>0</v>
      </c>
      <c r="E158" s="195">
        <f t="shared" si="142"/>
        <v>0</v>
      </c>
      <c r="F158" s="34" t="e">
        <f t="shared" si="143"/>
        <v>#DIV/0!</v>
      </c>
      <c r="G158" s="196">
        <v>0</v>
      </c>
      <c r="H158" s="191">
        <v>0</v>
      </c>
      <c r="I158" s="34" t="e">
        <f t="shared" si="144"/>
        <v>#DIV/0!</v>
      </c>
      <c r="J158" s="195">
        <v>0</v>
      </c>
      <c r="K158" s="191">
        <f t="shared" si="145"/>
        <v>0</v>
      </c>
      <c r="L158" s="40" t="e">
        <f t="shared" si="146"/>
        <v>#DIV/0!</v>
      </c>
      <c r="M158" s="193"/>
      <c r="N158" s="197" t="e">
        <f t="shared" si="147"/>
        <v>#DIV/0!</v>
      </c>
      <c r="O158" s="43">
        <v>0</v>
      </c>
    </row>
    <row r="159" spans="1:15" ht="16" thickBot="1">
      <c r="A159" s="80"/>
      <c r="B159" s="215" t="s">
        <v>44</v>
      </c>
      <c r="C159" s="216">
        <v>0</v>
      </c>
      <c r="D159" s="216">
        <v>0</v>
      </c>
      <c r="E159" s="216">
        <f t="shared" si="142"/>
        <v>0</v>
      </c>
      <c r="F159" s="34" t="e">
        <f t="shared" si="143"/>
        <v>#DIV/0!</v>
      </c>
      <c r="G159" s="217">
        <v>0</v>
      </c>
      <c r="H159" s="218">
        <v>0</v>
      </c>
      <c r="I159" s="219" t="e">
        <f t="shared" si="144"/>
        <v>#DIV/0!</v>
      </c>
      <c r="J159" s="216">
        <v>0</v>
      </c>
      <c r="K159" s="18">
        <f t="shared" si="145"/>
        <v>0</v>
      </c>
      <c r="L159" s="220" t="e">
        <f t="shared" si="146"/>
        <v>#DIV/0!</v>
      </c>
      <c r="M159" s="193"/>
      <c r="N159" s="197" t="e">
        <f t="shared" si="147"/>
        <v>#DIV/0!</v>
      </c>
      <c r="O159" s="43">
        <v>0</v>
      </c>
    </row>
    <row r="160" spans="1:15" ht="16" thickBot="1">
      <c r="A160" s="221"/>
      <c r="B160" s="222" t="s">
        <v>66</v>
      </c>
      <c r="C160" s="223">
        <f t="shared" ref="C160:D160" si="148">SUM(C156:C159)</f>
        <v>0</v>
      </c>
      <c r="D160" s="223">
        <f t="shared" si="148"/>
        <v>0</v>
      </c>
      <c r="E160" s="223">
        <f t="shared" si="142"/>
        <v>0</v>
      </c>
      <c r="F160" s="224" t="e">
        <f t="shared" si="143"/>
        <v>#DIV/0!</v>
      </c>
      <c r="G160" s="223">
        <f t="shared" ref="G160:H160" si="149">SUM(G156:G159)</f>
        <v>0</v>
      </c>
      <c r="H160" s="223">
        <f t="shared" si="149"/>
        <v>0</v>
      </c>
      <c r="I160" s="224" t="e">
        <f t="shared" si="144"/>
        <v>#DIV/0!</v>
      </c>
      <c r="J160" s="223">
        <f>SUM(J156:J159)</f>
        <v>0</v>
      </c>
      <c r="K160" s="225">
        <f t="shared" si="145"/>
        <v>0</v>
      </c>
      <c r="L160" s="226" t="e">
        <f t="shared" si="146"/>
        <v>#DIV/0!</v>
      </c>
      <c r="M160" s="227"/>
      <c r="N160" s="228" t="e">
        <f t="shared" si="147"/>
        <v>#DIV/0!</v>
      </c>
      <c r="O160" s="229"/>
    </row>
    <row r="161" spans="1:15" ht="15" customHeight="1" thickBot="1"/>
    <row r="162" spans="1:15" ht="31">
      <c r="A162" s="185">
        <v>46327</v>
      </c>
      <c r="B162" s="13" t="s">
        <v>1</v>
      </c>
      <c r="C162" s="186" t="s">
        <v>121</v>
      </c>
      <c r="D162" s="186" t="s">
        <v>122</v>
      </c>
      <c r="E162" s="186" t="s">
        <v>123</v>
      </c>
      <c r="F162" s="186" t="s">
        <v>124</v>
      </c>
      <c r="G162" s="186" t="s">
        <v>9</v>
      </c>
      <c r="H162" s="186" t="s">
        <v>125</v>
      </c>
      <c r="I162" s="186" t="s">
        <v>126</v>
      </c>
      <c r="J162" s="186" t="s">
        <v>127</v>
      </c>
      <c r="K162" s="186" t="s">
        <v>128</v>
      </c>
      <c r="L162" s="187" t="s">
        <v>129</v>
      </c>
      <c r="M162" s="188" t="s">
        <v>130</v>
      </c>
      <c r="N162" s="189" t="s">
        <v>131</v>
      </c>
      <c r="O162" s="14" t="s">
        <v>132</v>
      </c>
    </row>
    <row r="163" spans="1:15" ht="15" customHeight="1">
      <c r="A163" s="80"/>
      <c r="B163" s="190"/>
      <c r="C163" s="191"/>
      <c r="D163" s="191"/>
      <c r="E163" s="191"/>
      <c r="F163" s="191"/>
      <c r="G163" s="191"/>
      <c r="H163" s="191"/>
      <c r="I163" s="191"/>
      <c r="J163" s="191"/>
      <c r="K163" s="191"/>
      <c r="L163" s="192"/>
      <c r="M163" s="193"/>
      <c r="N163" s="194"/>
      <c r="O163" s="30"/>
    </row>
    <row r="164" spans="1:15" ht="15" customHeight="1">
      <c r="A164" s="80"/>
      <c r="B164" s="190" t="s">
        <v>35</v>
      </c>
      <c r="C164" s="195">
        <v>0</v>
      </c>
      <c r="D164" s="195">
        <v>0</v>
      </c>
      <c r="E164" s="195">
        <f t="shared" ref="E164:E170" si="150">C164-D164</f>
        <v>0</v>
      </c>
      <c r="F164" s="34" t="e">
        <f t="shared" ref="F164:F170" si="151">E164%/D164*100</f>
        <v>#DIV/0!</v>
      </c>
      <c r="G164" s="196">
        <v>0</v>
      </c>
      <c r="H164" s="191">
        <v>0</v>
      </c>
      <c r="I164" s="39" t="e">
        <f t="shared" ref="I164:I170" si="152">H164%/D164*100</f>
        <v>#DIV/0!</v>
      </c>
      <c r="J164" s="195">
        <v>0</v>
      </c>
      <c r="K164" s="191">
        <f t="shared" ref="K164:K170" si="153">J164*11.5</f>
        <v>0</v>
      </c>
      <c r="L164" s="40" t="e">
        <f t="shared" ref="L164:L170" si="154">K164%/D164*100</f>
        <v>#DIV/0!</v>
      </c>
      <c r="M164" s="193"/>
      <c r="N164" s="197" t="e">
        <f t="shared" ref="N164:N170" si="155">I164+L164</f>
        <v>#DIV/0!</v>
      </c>
      <c r="O164" s="43">
        <v>0</v>
      </c>
    </row>
    <row r="165" spans="1:15" ht="15" customHeight="1">
      <c r="A165" s="80"/>
      <c r="B165" s="190" t="s">
        <v>36</v>
      </c>
      <c r="C165" s="195">
        <v>0</v>
      </c>
      <c r="D165" s="195">
        <v>0</v>
      </c>
      <c r="E165" s="195">
        <f t="shared" si="150"/>
        <v>0</v>
      </c>
      <c r="F165" s="34" t="e">
        <f t="shared" si="151"/>
        <v>#DIV/0!</v>
      </c>
      <c r="G165" s="196">
        <v>0</v>
      </c>
      <c r="H165" s="191">
        <v>0</v>
      </c>
      <c r="I165" s="39" t="e">
        <f t="shared" si="152"/>
        <v>#DIV/0!</v>
      </c>
      <c r="J165" s="195">
        <v>0</v>
      </c>
      <c r="K165" s="191">
        <f t="shared" si="153"/>
        <v>0</v>
      </c>
      <c r="L165" s="40" t="e">
        <f t="shared" si="154"/>
        <v>#DIV/0!</v>
      </c>
      <c r="M165" s="193"/>
      <c r="N165" s="197" t="e">
        <f t="shared" si="155"/>
        <v>#DIV/0!</v>
      </c>
      <c r="O165" s="43">
        <v>0</v>
      </c>
    </row>
    <row r="166" spans="1:15" ht="15" customHeight="1">
      <c r="A166" s="80"/>
      <c r="B166" s="190" t="s">
        <v>133</v>
      </c>
      <c r="C166" s="195">
        <v>0</v>
      </c>
      <c r="D166" s="195">
        <v>0</v>
      </c>
      <c r="E166" s="195">
        <f t="shared" si="150"/>
        <v>0</v>
      </c>
      <c r="F166" s="34" t="e">
        <f t="shared" si="151"/>
        <v>#DIV/0!</v>
      </c>
      <c r="G166" s="196">
        <v>0</v>
      </c>
      <c r="H166" s="191">
        <v>0</v>
      </c>
      <c r="I166" s="39" t="e">
        <f t="shared" si="152"/>
        <v>#DIV/0!</v>
      </c>
      <c r="J166" s="195">
        <v>0</v>
      </c>
      <c r="K166" s="191">
        <f t="shared" si="153"/>
        <v>0</v>
      </c>
      <c r="L166" s="40" t="e">
        <f t="shared" si="154"/>
        <v>#DIV/0!</v>
      </c>
      <c r="M166" s="193"/>
      <c r="N166" s="197" t="e">
        <f t="shared" si="155"/>
        <v>#DIV/0!</v>
      </c>
      <c r="O166" s="43">
        <v>0</v>
      </c>
    </row>
    <row r="167" spans="1:15" ht="15" customHeight="1">
      <c r="A167" s="80"/>
      <c r="B167" s="190" t="s">
        <v>38</v>
      </c>
      <c r="C167" s="195">
        <v>0</v>
      </c>
      <c r="D167" s="195">
        <v>0</v>
      </c>
      <c r="E167" s="195">
        <f t="shared" si="150"/>
        <v>0</v>
      </c>
      <c r="F167" s="34" t="e">
        <f t="shared" si="151"/>
        <v>#DIV/0!</v>
      </c>
      <c r="G167" s="196">
        <v>0</v>
      </c>
      <c r="H167" s="191">
        <v>0</v>
      </c>
      <c r="I167" s="39" t="e">
        <f t="shared" si="152"/>
        <v>#DIV/0!</v>
      </c>
      <c r="J167" s="195">
        <v>0</v>
      </c>
      <c r="K167" s="191">
        <f t="shared" si="153"/>
        <v>0</v>
      </c>
      <c r="L167" s="40" t="e">
        <f t="shared" si="154"/>
        <v>#DIV/0!</v>
      </c>
      <c r="M167" s="193"/>
      <c r="N167" s="197" t="e">
        <f t="shared" si="155"/>
        <v>#DIV/0!</v>
      </c>
      <c r="O167" s="43">
        <v>0</v>
      </c>
    </row>
    <row r="168" spans="1:15" ht="15" customHeight="1">
      <c r="A168" s="80"/>
      <c r="B168" s="190" t="s">
        <v>40</v>
      </c>
      <c r="C168" s="195">
        <v>0</v>
      </c>
      <c r="D168" s="195">
        <v>0</v>
      </c>
      <c r="E168" s="195">
        <f t="shared" si="150"/>
        <v>0</v>
      </c>
      <c r="F168" s="34" t="e">
        <f t="shared" si="151"/>
        <v>#DIV/0!</v>
      </c>
      <c r="G168" s="196">
        <v>0</v>
      </c>
      <c r="H168" s="191">
        <v>0</v>
      </c>
      <c r="I168" s="39" t="e">
        <f t="shared" si="152"/>
        <v>#DIV/0!</v>
      </c>
      <c r="J168" s="195">
        <v>0</v>
      </c>
      <c r="K168" s="191">
        <f t="shared" si="153"/>
        <v>0</v>
      </c>
      <c r="L168" s="40" t="e">
        <f t="shared" si="154"/>
        <v>#DIV/0!</v>
      </c>
      <c r="M168" s="193"/>
      <c r="N168" s="197" t="e">
        <f t="shared" si="155"/>
        <v>#DIV/0!</v>
      </c>
      <c r="O168" s="43">
        <v>0</v>
      </c>
    </row>
    <row r="169" spans="1:15" ht="15" customHeight="1">
      <c r="A169" s="80"/>
      <c r="B169" s="190" t="s">
        <v>41</v>
      </c>
      <c r="C169" s="195">
        <v>0</v>
      </c>
      <c r="D169" s="195">
        <v>0</v>
      </c>
      <c r="E169" s="195">
        <f t="shared" si="150"/>
        <v>0</v>
      </c>
      <c r="F169" s="34" t="e">
        <f t="shared" si="151"/>
        <v>#DIV/0!</v>
      </c>
      <c r="G169" s="196">
        <v>0</v>
      </c>
      <c r="H169" s="191">
        <v>0</v>
      </c>
      <c r="I169" s="39" t="e">
        <f t="shared" si="152"/>
        <v>#DIV/0!</v>
      </c>
      <c r="J169" s="195">
        <v>0</v>
      </c>
      <c r="K169" s="191">
        <f t="shared" si="153"/>
        <v>0</v>
      </c>
      <c r="L169" s="40" t="e">
        <f t="shared" si="154"/>
        <v>#DIV/0!</v>
      </c>
      <c r="M169" s="193"/>
      <c r="N169" s="197" t="e">
        <f t="shared" si="155"/>
        <v>#DIV/0!</v>
      </c>
      <c r="O169" s="43">
        <v>0</v>
      </c>
    </row>
    <row r="170" spans="1:15" ht="15" customHeight="1">
      <c r="A170" s="80"/>
      <c r="B170" s="190" t="s">
        <v>42</v>
      </c>
      <c r="C170" s="195">
        <v>0</v>
      </c>
      <c r="D170" s="195">
        <v>0</v>
      </c>
      <c r="E170" s="195">
        <f t="shared" si="150"/>
        <v>0</v>
      </c>
      <c r="F170" s="34" t="e">
        <f t="shared" si="151"/>
        <v>#DIV/0!</v>
      </c>
      <c r="G170" s="196">
        <v>0</v>
      </c>
      <c r="H170" s="191">
        <v>0</v>
      </c>
      <c r="I170" s="39" t="e">
        <f t="shared" si="152"/>
        <v>#DIV/0!</v>
      </c>
      <c r="J170" s="195">
        <v>0</v>
      </c>
      <c r="K170" s="191">
        <f t="shared" si="153"/>
        <v>0</v>
      </c>
      <c r="L170" s="40" t="e">
        <f t="shared" si="154"/>
        <v>#DIV/0!</v>
      </c>
      <c r="M170" s="198">
        <v>0</v>
      </c>
      <c r="N170" s="197" t="e">
        <f t="shared" si="155"/>
        <v>#DIV/0!</v>
      </c>
      <c r="O170" s="43">
        <v>0</v>
      </c>
    </row>
    <row r="171" spans="1:15" ht="15" customHeight="1">
      <c r="A171" s="80"/>
      <c r="B171" s="190"/>
      <c r="C171" s="191"/>
      <c r="D171" s="191"/>
      <c r="E171" s="191"/>
      <c r="F171" s="191"/>
      <c r="G171" s="191"/>
      <c r="H171" s="191"/>
      <c r="I171" s="191"/>
      <c r="J171" s="191"/>
      <c r="K171" s="191"/>
      <c r="L171" s="192"/>
      <c r="M171" s="193"/>
      <c r="N171" s="197"/>
      <c r="O171" s="43"/>
    </row>
    <row r="172" spans="1:15" ht="15.75" customHeight="1" thickBot="1">
      <c r="A172" s="80"/>
      <c r="B172" s="199" t="s">
        <v>45</v>
      </c>
      <c r="C172" s="200">
        <f t="shared" ref="C172:D172" si="156">SUM(C164:C171)</f>
        <v>0</v>
      </c>
      <c r="D172" s="200">
        <f t="shared" si="156"/>
        <v>0</v>
      </c>
      <c r="E172" s="200">
        <f t="shared" ref="E172:E176" si="157">C172-D172</f>
        <v>0</v>
      </c>
      <c r="F172" s="34" t="e">
        <f t="shared" ref="F172:F176" si="158">E172%/D172*100</f>
        <v>#DIV/0!</v>
      </c>
      <c r="G172" s="200">
        <f>SUM(G164:G171)</f>
        <v>0</v>
      </c>
      <c r="H172" s="201">
        <f>SUM(H164:H170)</f>
        <v>0</v>
      </c>
      <c r="I172" s="202" t="e">
        <f t="shared" ref="I172:I176" si="159">H172%/D172*100</f>
        <v>#DIV/0!</v>
      </c>
      <c r="J172" s="200">
        <f>SUM(J164:J171)</f>
        <v>0</v>
      </c>
      <c r="K172" s="201">
        <f t="shared" ref="K172:K176" si="160">J172*11.5</f>
        <v>0</v>
      </c>
      <c r="L172" s="203" t="e">
        <f t="shared" ref="L172:L176" si="161">K172%/D172*100</f>
        <v>#DIV/0!</v>
      </c>
      <c r="M172" s="204"/>
      <c r="N172" s="205" t="e">
        <f t="shared" ref="N172:N176" si="162">I172+L172</f>
        <v>#DIV/0!</v>
      </c>
      <c r="O172" s="63"/>
    </row>
    <row r="173" spans="1:15" ht="15.5">
      <c r="A173" s="80"/>
      <c r="B173" s="206" t="s">
        <v>39</v>
      </c>
      <c r="C173" s="207">
        <v>0</v>
      </c>
      <c r="D173" s="207">
        <v>0</v>
      </c>
      <c r="E173" s="207">
        <f t="shared" si="157"/>
        <v>0</v>
      </c>
      <c r="F173" s="34" t="e">
        <f t="shared" si="158"/>
        <v>#DIV/0!</v>
      </c>
      <c r="G173" s="208">
        <v>0</v>
      </c>
      <c r="H173" s="209">
        <v>0</v>
      </c>
      <c r="I173" s="210" t="e">
        <f t="shared" si="159"/>
        <v>#DIV/0!</v>
      </c>
      <c r="J173" s="207">
        <v>0</v>
      </c>
      <c r="K173" s="209">
        <f t="shared" si="160"/>
        <v>0</v>
      </c>
      <c r="L173" s="211" t="e">
        <f t="shared" si="161"/>
        <v>#DIV/0!</v>
      </c>
      <c r="M173" s="212"/>
      <c r="N173" s="213" t="e">
        <f t="shared" si="162"/>
        <v>#DIV/0!</v>
      </c>
      <c r="O173" s="214">
        <v>0</v>
      </c>
    </row>
    <row r="174" spans="1:15" ht="15.5">
      <c r="A174" s="80"/>
      <c r="B174" s="190" t="s">
        <v>134</v>
      </c>
      <c r="C174" s="195">
        <v>0</v>
      </c>
      <c r="D174" s="195">
        <v>0</v>
      </c>
      <c r="E174" s="195">
        <f t="shared" si="157"/>
        <v>0</v>
      </c>
      <c r="F174" s="34" t="e">
        <f t="shared" si="158"/>
        <v>#DIV/0!</v>
      </c>
      <c r="G174" s="196">
        <v>0</v>
      </c>
      <c r="H174" s="191">
        <v>0</v>
      </c>
      <c r="I174" s="34" t="e">
        <f t="shared" si="159"/>
        <v>#DIV/0!</v>
      </c>
      <c r="J174" s="195">
        <v>0</v>
      </c>
      <c r="K174" s="191">
        <f t="shared" si="160"/>
        <v>0</v>
      </c>
      <c r="L174" s="40" t="e">
        <f t="shared" si="161"/>
        <v>#DIV/0!</v>
      </c>
      <c r="M174" s="193"/>
      <c r="N174" s="197" t="e">
        <f t="shared" si="162"/>
        <v>#DIV/0!</v>
      </c>
      <c r="O174" s="43">
        <v>0</v>
      </c>
    </row>
    <row r="175" spans="1:15" ht="16" thickBot="1">
      <c r="A175" s="80"/>
      <c r="B175" s="215" t="s">
        <v>44</v>
      </c>
      <c r="C175" s="216">
        <v>0</v>
      </c>
      <c r="D175" s="216">
        <v>0</v>
      </c>
      <c r="E175" s="216">
        <f t="shared" si="157"/>
        <v>0</v>
      </c>
      <c r="F175" s="34" t="e">
        <f t="shared" si="158"/>
        <v>#DIV/0!</v>
      </c>
      <c r="G175" s="217">
        <v>0</v>
      </c>
      <c r="H175" s="218">
        <v>0</v>
      </c>
      <c r="I175" s="219" t="e">
        <f t="shared" si="159"/>
        <v>#DIV/0!</v>
      </c>
      <c r="J175" s="216">
        <v>0</v>
      </c>
      <c r="K175" s="18">
        <f t="shared" si="160"/>
        <v>0</v>
      </c>
      <c r="L175" s="220" t="e">
        <f t="shared" si="161"/>
        <v>#DIV/0!</v>
      </c>
      <c r="M175" s="193"/>
      <c r="N175" s="197" t="e">
        <f t="shared" si="162"/>
        <v>#DIV/0!</v>
      </c>
      <c r="O175" s="43">
        <v>0</v>
      </c>
    </row>
    <row r="176" spans="1:15" ht="16" thickBot="1">
      <c r="A176" s="221"/>
      <c r="B176" s="222" t="s">
        <v>66</v>
      </c>
      <c r="C176" s="223">
        <f t="shared" ref="C176:D176" si="163">SUM(C172:C175)</f>
        <v>0</v>
      </c>
      <c r="D176" s="223">
        <f t="shared" si="163"/>
        <v>0</v>
      </c>
      <c r="E176" s="223">
        <f t="shared" si="157"/>
        <v>0</v>
      </c>
      <c r="F176" s="224" t="e">
        <f t="shared" si="158"/>
        <v>#DIV/0!</v>
      </c>
      <c r="G176" s="223">
        <f t="shared" ref="G176:H176" si="164">SUM(G172:G175)</f>
        <v>0</v>
      </c>
      <c r="H176" s="223">
        <f t="shared" si="164"/>
        <v>0</v>
      </c>
      <c r="I176" s="224" t="e">
        <f t="shared" si="159"/>
        <v>#DIV/0!</v>
      </c>
      <c r="J176" s="223">
        <f>SUM(J172:J175)</f>
        <v>0</v>
      </c>
      <c r="K176" s="225">
        <f t="shared" si="160"/>
        <v>0</v>
      </c>
      <c r="L176" s="226" t="e">
        <f t="shared" si="161"/>
        <v>#DIV/0!</v>
      </c>
      <c r="M176" s="227"/>
      <c r="N176" s="228" t="e">
        <f t="shared" si="162"/>
        <v>#DIV/0!</v>
      </c>
      <c r="O176" s="229"/>
    </row>
    <row r="177" spans="1:15" ht="15" customHeight="1" thickBot="1"/>
    <row r="178" spans="1:15" ht="31">
      <c r="A178" s="185">
        <v>46357</v>
      </c>
      <c r="B178" s="13" t="s">
        <v>1</v>
      </c>
      <c r="C178" s="186" t="s">
        <v>121</v>
      </c>
      <c r="D178" s="186" t="s">
        <v>122</v>
      </c>
      <c r="E178" s="186" t="s">
        <v>123</v>
      </c>
      <c r="F178" s="186" t="s">
        <v>124</v>
      </c>
      <c r="G178" s="186" t="s">
        <v>9</v>
      </c>
      <c r="H178" s="186" t="s">
        <v>125</v>
      </c>
      <c r="I178" s="186" t="s">
        <v>126</v>
      </c>
      <c r="J178" s="186" t="s">
        <v>127</v>
      </c>
      <c r="K178" s="186" t="s">
        <v>128</v>
      </c>
      <c r="L178" s="187" t="s">
        <v>129</v>
      </c>
      <c r="M178" s="188" t="s">
        <v>130</v>
      </c>
      <c r="N178" s="189" t="s">
        <v>131</v>
      </c>
      <c r="O178" s="14" t="s">
        <v>132</v>
      </c>
    </row>
    <row r="179" spans="1:15" ht="15" customHeight="1">
      <c r="A179" s="80"/>
      <c r="B179" s="190"/>
      <c r="C179" s="191"/>
      <c r="D179" s="191"/>
      <c r="E179" s="191"/>
      <c r="F179" s="191"/>
      <c r="G179" s="191"/>
      <c r="H179" s="191"/>
      <c r="I179" s="191"/>
      <c r="J179" s="191"/>
      <c r="K179" s="191"/>
      <c r="L179" s="192"/>
      <c r="M179" s="193"/>
      <c r="N179" s="194"/>
      <c r="O179" s="30"/>
    </row>
    <row r="180" spans="1:15" ht="15" customHeight="1">
      <c r="A180" s="80"/>
      <c r="B180" s="190" t="s">
        <v>35</v>
      </c>
      <c r="C180" s="195">
        <v>0</v>
      </c>
      <c r="D180" s="195">
        <v>0</v>
      </c>
      <c r="E180" s="195">
        <f t="shared" ref="E180:E186" si="165">C180-D180</f>
        <v>0</v>
      </c>
      <c r="F180" s="34" t="e">
        <f t="shared" ref="F180:F186" si="166">E180%/D180*100</f>
        <v>#DIV/0!</v>
      </c>
      <c r="G180" s="196">
        <v>0</v>
      </c>
      <c r="H180" s="191">
        <v>0</v>
      </c>
      <c r="I180" s="39" t="e">
        <f t="shared" ref="I180:I186" si="167">H180%/D180*100</f>
        <v>#DIV/0!</v>
      </c>
      <c r="J180" s="195">
        <v>0</v>
      </c>
      <c r="K180" s="191">
        <f t="shared" ref="K180:K186" si="168">J180*11.5</f>
        <v>0</v>
      </c>
      <c r="L180" s="40" t="e">
        <f t="shared" ref="L180:L186" si="169">K180%/D180*100</f>
        <v>#DIV/0!</v>
      </c>
      <c r="M180" s="193"/>
      <c r="N180" s="197" t="e">
        <f t="shared" ref="N180:N186" si="170">I180+L180</f>
        <v>#DIV/0!</v>
      </c>
      <c r="O180" s="43">
        <v>0</v>
      </c>
    </row>
    <row r="181" spans="1:15" ht="15" customHeight="1">
      <c r="A181" s="80"/>
      <c r="B181" s="190" t="s">
        <v>36</v>
      </c>
      <c r="C181" s="195">
        <v>0</v>
      </c>
      <c r="D181" s="195">
        <v>0</v>
      </c>
      <c r="E181" s="195">
        <f t="shared" si="165"/>
        <v>0</v>
      </c>
      <c r="F181" s="34" t="e">
        <f t="shared" si="166"/>
        <v>#DIV/0!</v>
      </c>
      <c r="G181" s="196">
        <v>0</v>
      </c>
      <c r="H181" s="191">
        <v>0</v>
      </c>
      <c r="I181" s="39" t="e">
        <f t="shared" si="167"/>
        <v>#DIV/0!</v>
      </c>
      <c r="J181" s="195">
        <v>0</v>
      </c>
      <c r="K181" s="191">
        <f t="shared" si="168"/>
        <v>0</v>
      </c>
      <c r="L181" s="40" t="e">
        <f t="shared" si="169"/>
        <v>#DIV/0!</v>
      </c>
      <c r="M181" s="193"/>
      <c r="N181" s="197" t="e">
        <f t="shared" si="170"/>
        <v>#DIV/0!</v>
      </c>
      <c r="O181" s="43">
        <v>0</v>
      </c>
    </row>
    <row r="182" spans="1:15" ht="15" customHeight="1">
      <c r="A182" s="80"/>
      <c r="B182" s="190" t="s">
        <v>133</v>
      </c>
      <c r="C182" s="195">
        <v>0</v>
      </c>
      <c r="D182" s="195">
        <v>0</v>
      </c>
      <c r="E182" s="195">
        <f t="shared" si="165"/>
        <v>0</v>
      </c>
      <c r="F182" s="34" t="e">
        <f t="shared" si="166"/>
        <v>#DIV/0!</v>
      </c>
      <c r="G182" s="196">
        <v>0</v>
      </c>
      <c r="H182" s="191">
        <v>0</v>
      </c>
      <c r="I182" s="39" t="e">
        <f t="shared" si="167"/>
        <v>#DIV/0!</v>
      </c>
      <c r="J182" s="195">
        <v>0</v>
      </c>
      <c r="K182" s="191">
        <f t="shared" si="168"/>
        <v>0</v>
      </c>
      <c r="L182" s="40" t="e">
        <f t="shared" si="169"/>
        <v>#DIV/0!</v>
      </c>
      <c r="M182" s="193"/>
      <c r="N182" s="197" t="e">
        <f t="shared" si="170"/>
        <v>#DIV/0!</v>
      </c>
      <c r="O182" s="43">
        <v>0</v>
      </c>
    </row>
    <row r="183" spans="1:15" ht="15" customHeight="1">
      <c r="A183" s="80"/>
      <c r="B183" s="190" t="s">
        <v>38</v>
      </c>
      <c r="C183" s="195">
        <v>0</v>
      </c>
      <c r="D183" s="195">
        <v>0</v>
      </c>
      <c r="E183" s="195">
        <f t="shared" si="165"/>
        <v>0</v>
      </c>
      <c r="F183" s="34" t="e">
        <f t="shared" si="166"/>
        <v>#DIV/0!</v>
      </c>
      <c r="G183" s="196">
        <v>0</v>
      </c>
      <c r="H183" s="191">
        <v>0</v>
      </c>
      <c r="I183" s="39" t="e">
        <f t="shared" si="167"/>
        <v>#DIV/0!</v>
      </c>
      <c r="J183" s="195">
        <v>0</v>
      </c>
      <c r="K183" s="191">
        <f t="shared" si="168"/>
        <v>0</v>
      </c>
      <c r="L183" s="40" t="e">
        <f t="shared" si="169"/>
        <v>#DIV/0!</v>
      </c>
      <c r="M183" s="193"/>
      <c r="N183" s="197" t="e">
        <f t="shared" si="170"/>
        <v>#DIV/0!</v>
      </c>
      <c r="O183" s="43">
        <v>0</v>
      </c>
    </row>
    <row r="184" spans="1:15" ht="15" customHeight="1">
      <c r="A184" s="80"/>
      <c r="B184" s="190" t="s">
        <v>40</v>
      </c>
      <c r="C184" s="195">
        <v>0</v>
      </c>
      <c r="D184" s="195">
        <v>0</v>
      </c>
      <c r="E184" s="195">
        <f t="shared" si="165"/>
        <v>0</v>
      </c>
      <c r="F184" s="34" t="e">
        <f t="shared" si="166"/>
        <v>#DIV/0!</v>
      </c>
      <c r="G184" s="196">
        <v>0</v>
      </c>
      <c r="H184" s="191">
        <v>0</v>
      </c>
      <c r="I184" s="39" t="e">
        <f t="shared" si="167"/>
        <v>#DIV/0!</v>
      </c>
      <c r="J184" s="195">
        <v>0</v>
      </c>
      <c r="K184" s="191">
        <f t="shared" si="168"/>
        <v>0</v>
      </c>
      <c r="L184" s="40" t="e">
        <f t="shared" si="169"/>
        <v>#DIV/0!</v>
      </c>
      <c r="M184" s="193"/>
      <c r="N184" s="197" t="e">
        <f t="shared" si="170"/>
        <v>#DIV/0!</v>
      </c>
      <c r="O184" s="43">
        <v>0</v>
      </c>
    </row>
    <row r="185" spans="1:15" ht="15" customHeight="1">
      <c r="A185" s="80"/>
      <c r="B185" s="190" t="s">
        <v>41</v>
      </c>
      <c r="C185" s="195">
        <v>0</v>
      </c>
      <c r="D185" s="195">
        <v>0</v>
      </c>
      <c r="E185" s="195">
        <f t="shared" si="165"/>
        <v>0</v>
      </c>
      <c r="F185" s="34" t="e">
        <f t="shared" si="166"/>
        <v>#DIV/0!</v>
      </c>
      <c r="G185" s="196">
        <v>0</v>
      </c>
      <c r="H185" s="191">
        <v>0</v>
      </c>
      <c r="I185" s="39" t="e">
        <f t="shared" si="167"/>
        <v>#DIV/0!</v>
      </c>
      <c r="J185" s="195">
        <v>0</v>
      </c>
      <c r="K185" s="191">
        <f t="shared" si="168"/>
        <v>0</v>
      </c>
      <c r="L185" s="40" t="e">
        <f t="shared" si="169"/>
        <v>#DIV/0!</v>
      </c>
      <c r="M185" s="193"/>
      <c r="N185" s="197" t="e">
        <f t="shared" si="170"/>
        <v>#DIV/0!</v>
      </c>
      <c r="O185" s="43">
        <v>0</v>
      </c>
    </row>
    <row r="186" spans="1:15" ht="15" customHeight="1">
      <c r="A186" s="80"/>
      <c r="B186" s="190" t="s">
        <v>42</v>
      </c>
      <c r="C186" s="195">
        <v>0</v>
      </c>
      <c r="D186" s="195">
        <v>0</v>
      </c>
      <c r="E186" s="195">
        <f t="shared" si="165"/>
        <v>0</v>
      </c>
      <c r="F186" s="34" t="e">
        <f t="shared" si="166"/>
        <v>#DIV/0!</v>
      </c>
      <c r="G186" s="196">
        <v>0</v>
      </c>
      <c r="H186" s="191">
        <v>0</v>
      </c>
      <c r="I186" s="39" t="e">
        <f t="shared" si="167"/>
        <v>#DIV/0!</v>
      </c>
      <c r="J186" s="195">
        <v>0</v>
      </c>
      <c r="K186" s="191">
        <f t="shared" si="168"/>
        <v>0</v>
      </c>
      <c r="L186" s="40" t="e">
        <f t="shared" si="169"/>
        <v>#DIV/0!</v>
      </c>
      <c r="M186" s="198">
        <v>0</v>
      </c>
      <c r="N186" s="197" t="e">
        <f t="shared" si="170"/>
        <v>#DIV/0!</v>
      </c>
      <c r="O186" s="43">
        <v>0</v>
      </c>
    </row>
    <row r="187" spans="1:15" ht="15" customHeight="1">
      <c r="A187" s="80"/>
      <c r="B187" s="190"/>
      <c r="C187" s="191"/>
      <c r="D187" s="191"/>
      <c r="E187" s="191"/>
      <c r="F187" s="191"/>
      <c r="G187" s="191"/>
      <c r="H187" s="191"/>
      <c r="I187" s="191"/>
      <c r="J187" s="191"/>
      <c r="K187" s="191"/>
      <c r="L187" s="192"/>
      <c r="M187" s="193"/>
      <c r="N187" s="197"/>
      <c r="O187" s="43"/>
    </row>
    <row r="188" spans="1:15" ht="15.75" customHeight="1" thickBot="1">
      <c r="A188" s="80"/>
      <c r="B188" s="199" t="s">
        <v>45</v>
      </c>
      <c r="C188" s="200">
        <f t="shared" ref="C188:D188" si="171">SUM(C180:C187)</f>
        <v>0</v>
      </c>
      <c r="D188" s="200">
        <f t="shared" si="171"/>
        <v>0</v>
      </c>
      <c r="E188" s="200">
        <f t="shared" ref="E188:E192" si="172">C188-D188</f>
        <v>0</v>
      </c>
      <c r="F188" s="34" t="e">
        <f t="shared" ref="F188:F192" si="173">E188%/D188*100</f>
        <v>#DIV/0!</v>
      </c>
      <c r="G188" s="200">
        <f>SUM(G180:G187)</f>
        <v>0</v>
      </c>
      <c r="H188" s="201">
        <f>SUM(H180:H186)</f>
        <v>0</v>
      </c>
      <c r="I188" s="202" t="e">
        <f t="shared" ref="I188:I192" si="174">H188%/D188*100</f>
        <v>#DIV/0!</v>
      </c>
      <c r="J188" s="200">
        <f>SUM(J180:J187)</f>
        <v>0</v>
      </c>
      <c r="K188" s="201">
        <f t="shared" ref="K188:K192" si="175">J188*11.5</f>
        <v>0</v>
      </c>
      <c r="L188" s="203" t="e">
        <f t="shared" ref="L188:L192" si="176">K188%/D188*100</f>
        <v>#DIV/0!</v>
      </c>
      <c r="M188" s="204"/>
      <c r="N188" s="205" t="e">
        <f t="shared" ref="N188:N192" si="177">I188+L188</f>
        <v>#DIV/0!</v>
      </c>
      <c r="O188" s="63"/>
    </row>
    <row r="189" spans="1:15" ht="15.5">
      <c r="A189" s="80"/>
      <c r="B189" s="206" t="s">
        <v>39</v>
      </c>
      <c r="C189" s="207">
        <v>0</v>
      </c>
      <c r="D189" s="207">
        <v>0</v>
      </c>
      <c r="E189" s="207">
        <f t="shared" si="172"/>
        <v>0</v>
      </c>
      <c r="F189" s="34" t="e">
        <f t="shared" si="173"/>
        <v>#DIV/0!</v>
      </c>
      <c r="G189" s="208">
        <v>0</v>
      </c>
      <c r="H189" s="209">
        <v>0</v>
      </c>
      <c r="I189" s="210" t="e">
        <f t="shared" si="174"/>
        <v>#DIV/0!</v>
      </c>
      <c r="J189" s="207">
        <v>0</v>
      </c>
      <c r="K189" s="209">
        <f t="shared" si="175"/>
        <v>0</v>
      </c>
      <c r="L189" s="211" t="e">
        <f t="shared" si="176"/>
        <v>#DIV/0!</v>
      </c>
      <c r="M189" s="212"/>
      <c r="N189" s="213" t="e">
        <f t="shared" si="177"/>
        <v>#DIV/0!</v>
      </c>
      <c r="O189" s="214">
        <v>0</v>
      </c>
    </row>
    <row r="190" spans="1:15" ht="15.5">
      <c r="A190" s="80"/>
      <c r="B190" s="190" t="s">
        <v>134</v>
      </c>
      <c r="C190" s="195">
        <v>0</v>
      </c>
      <c r="D190" s="195">
        <v>0</v>
      </c>
      <c r="E190" s="195">
        <f t="shared" si="172"/>
        <v>0</v>
      </c>
      <c r="F190" s="34" t="e">
        <f t="shared" si="173"/>
        <v>#DIV/0!</v>
      </c>
      <c r="G190" s="196">
        <v>0</v>
      </c>
      <c r="H190" s="191">
        <v>0</v>
      </c>
      <c r="I190" s="34" t="e">
        <f t="shared" si="174"/>
        <v>#DIV/0!</v>
      </c>
      <c r="J190" s="195">
        <v>0</v>
      </c>
      <c r="K190" s="191">
        <f t="shared" si="175"/>
        <v>0</v>
      </c>
      <c r="L190" s="40" t="e">
        <f t="shared" si="176"/>
        <v>#DIV/0!</v>
      </c>
      <c r="M190" s="193"/>
      <c r="N190" s="197" t="e">
        <f t="shared" si="177"/>
        <v>#DIV/0!</v>
      </c>
      <c r="O190" s="43">
        <v>0</v>
      </c>
    </row>
    <row r="191" spans="1:15" ht="16" thickBot="1">
      <c r="A191" s="80"/>
      <c r="B191" s="215" t="s">
        <v>44</v>
      </c>
      <c r="C191" s="216">
        <v>0</v>
      </c>
      <c r="D191" s="216">
        <v>0</v>
      </c>
      <c r="E191" s="216">
        <f t="shared" si="172"/>
        <v>0</v>
      </c>
      <c r="F191" s="34" t="e">
        <f t="shared" si="173"/>
        <v>#DIV/0!</v>
      </c>
      <c r="G191" s="217">
        <v>0</v>
      </c>
      <c r="H191" s="218">
        <v>0</v>
      </c>
      <c r="I191" s="219" t="e">
        <f t="shared" si="174"/>
        <v>#DIV/0!</v>
      </c>
      <c r="J191" s="216">
        <v>0</v>
      </c>
      <c r="K191" s="18">
        <f t="shared" si="175"/>
        <v>0</v>
      </c>
      <c r="L191" s="220" t="e">
        <f t="shared" si="176"/>
        <v>#DIV/0!</v>
      </c>
      <c r="M191" s="193"/>
      <c r="N191" s="197" t="e">
        <f t="shared" si="177"/>
        <v>#DIV/0!</v>
      </c>
      <c r="O191" s="43">
        <v>0</v>
      </c>
    </row>
    <row r="192" spans="1:15" ht="16" thickBot="1">
      <c r="A192" s="221"/>
      <c r="B192" s="222" t="s">
        <v>66</v>
      </c>
      <c r="C192" s="223">
        <f t="shared" ref="C192:D192" si="178">SUM(C188:C191)</f>
        <v>0</v>
      </c>
      <c r="D192" s="223">
        <f t="shared" si="178"/>
        <v>0</v>
      </c>
      <c r="E192" s="223">
        <f t="shared" si="172"/>
        <v>0</v>
      </c>
      <c r="F192" s="224" t="e">
        <f t="shared" si="173"/>
        <v>#DIV/0!</v>
      </c>
      <c r="G192" s="223">
        <f t="shared" ref="G192:H192" si="179">SUM(G188:G191)</f>
        <v>0</v>
      </c>
      <c r="H192" s="223">
        <f t="shared" si="179"/>
        <v>0</v>
      </c>
      <c r="I192" s="224" t="e">
        <f t="shared" si="174"/>
        <v>#DIV/0!</v>
      </c>
      <c r="J192" s="223">
        <f>SUM(J188:J191)</f>
        <v>0</v>
      </c>
      <c r="K192" s="225">
        <f t="shared" si="175"/>
        <v>0</v>
      </c>
      <c r="L192" s="226" t="e">
        <f t="shared" si="176"/>
        <v>#DIV/0!</v>
      </c>
      <c r="M192" s="227"/>
      <c r="N192" s="228" t="e">
        <f t="shared" si="177"/>
        <v>#DIV/0!</v>
      </c>
      <c r="O192" s="229"/>
    </row>
    <row r="193" spans="1:13" ht="15" customHeight="1" thickBot="1"/>
    <row r="194" spans="1:13" ht="31.5" thickBot="1">
      <c r="A194" s="246" t="s">
        <v>135</v>
      </c>
      <c r="B194" s="247" t="s">
        <v>1</v>
      </c>
      <c r="C194" s="248" t="s">
        <v>121</v>
      </c>
      <c r="D194" s="248" t="s">
        <v>122</v>
      </c>
      <c r="E194" s="248" t="s">
        <v>123</v>
      </c>
      <c r="F194" s="248" t="s">
        <v>124</v>
      </c>
      <c r="G194" s="248" t="s">
        <v>9</v>
      </c>
      <c r="H194" s="248" t="s">
        <v>125</v>
      </c>
      <c r="I194" s="248" t="s">
        <v>126</v>
      </c>
      <c r="J194" s="248" t="s">
        <v>127</v>
      </c>
      <c r="K194" s="248" t="s">
        <v>128</v>
      </c>
      <c r="L194" s="249" t="s">
        <v>129</v>
      </c>
      <c r="M194" s="250" t="s">
        <v>131</v>
      </c>
    </row>
    <row r="195" spans="1:13" ht="15" customHeight="1">
      <c r="A195" s="80"/>
      <c r="B195" s="251"/>
      <c r="C195" s="252"/>
      <c r="D195" s="252"/>
      <c r="E195" s="252"/>
      <c r="F195" s="252"/>
      <c r="G195" s="252"/>
      <c r="H195" s="252"/>
      <c r="I195" s="252"/>
      <c r="J195" s="252"/>
      <c r="K195" s="252"/>
      <c r="L195" s="253"/>
      <c r="M195" s="254"/>
    </row>
    <row r="196" spans="1:13" ht="15" customHeight="1">
      <c r="A196" s="80"/>
      <c r="B196" s="251" t="s">
        <v>35</v>
      </c>
      <c r="C196" s="255">
        <f t="shared" ref="C196:D202" si="180">C3+C19+C35+C51+C68+C84+C100+C116+C132+C148+C164+C180</f>
        <v>0</v>
      </c>
      <c r="D196" s="255">
        <f t="shared" si="180"/>
        <v>0</v>
      </c>
      <c r="E196" s="255">
        <f t="shared" ref="E196:E202" si="181">C196-D196</f>
        <v>0</v>
      </c>
      <c r="F196" s="256" t="e">
        <f t="shared" ref="F196:F202" si="182">E196%/C196*100</f>
        <v>#DIV/0!</v>
      </c>
      <c r="G196" s="255">
        <f t="shared" ref="G196:H202" si="183">G3+G19+G35+G51+G68+G84+G100+G116+G132+G148+G164+G180</f>
        <v>0</v>
      </c>
      <c r="H196" s="255">
        <f t="shared" si="183"/>
        <v>0</v>
      </c>
      <c r="I196" s="257" t="e">
        <f t="shared" ref="I196:I202" si="184">H196%/D196*100</f>
        <v>#DIV/0!</v>
      </c>
      <c r="J196" s="255">
        <f t="shared" ref="J196:K202" si="185">J3+J19+J35+J51+J68+J84+J100+J116+J132+J148+J164+J180</f>
        <v>0</v>
      </c>
      <c r="K196" s="255">
        <f t="shared" si="185"/>
        <v>0</v>
      </c>
      <c r="L196" s="258" t="e">
        <f t="shared" ref="L196:L202" si="186">K196%/D196*100</f>
        <v>#DIV/0!</v>
      </c>
      <c r="M196" s="259" t="e">
        <f t="shared" ref="M196:M202" si="187">I196+L196</f>
        <v>#DIV/0!</v>
      </c>
    </row>
    <row r="197" spans="1:13" ht="15" customHeight="1">
      <c r="A197" s="80"/>
      <c r="B197" s="251" t="s">
        <v>36</v>
      </c>
      <c r="C197" s="255">
        <f t="shared" si="180"/>
        <v>0</v>
      </c>
      <c r="D197" s="255">
        <f t="shared" si="180"/>
        <v>0</v>
      </c>
      <c r="E197" s="255">
        <f t="shared" si="181"/>
        <v>0</v>
      </c>
      <c r="F197" s="256" t="e">
        <f t="shared" si="182"/>
        <v>#DIV/0!</v>
      </c>
      <c r="G197" s="255">
        <f t="shared" si="183"/>
        <v>0</v>
      </c>
      <c r="H197" s="255">
        <f t="shared" si="183"/>
        <v>0</v>
      </c>
      <c r="I197" s="257" t="e">
        <f t="shared" si="184"/>
        <v>#DIV/0!</v>
      </c>
      <c r="J197" s="255">
        <f t="shared" si="185"/>
        <v>0</v>
      </c>
      <c r="K197" s="255">
        <f t="shared" si="185"/>
        <v>0</v>
      </c>
      <c r="L197" s="258" t="e">
        <f t="shared" si="186"/>
        <v>#DIV/0!</v>
      </c>
      <c r="M197" s="259" t="e">
        <f t="shared" si="187"/>
        <v>#DIV/0!</v>
      </c>
    </row>
    <row r="198" spans="1:13" ht="15" customHeight="1">
      <c r="A198" s="80"/>
      <c r="B198" s="251" t="s">
        <v>133</v>
      </c>
      <c r="C198" s="255">
        <f t="shared" si="180"/>
        <v>0</v>
      </c>
      <c r="D198" s="255">
        <f t="shared" si="180"/>
        <v>0</v>
      </c>
      <c r="E198" s="255">
        <f t="shared" si="181"/>
        <v>0</v>
      </c>
      <c r="F198" s="256" t="e">
        <f t="shared" si="182"/>
        <v>#DIV/0!</v>
      </c>
      <c r="G198" s="255">
        <f t="shared" si="183"/>
        <v>0</v>
      </c>
      <c r="H198" s="255">
        <f t="shared" si="183"/>
        <v>0</v>
      </c>
      <c r="I198" s="257" t="e">
        <f t="shared" si="184"/>
        <v>#DIV/0!</v>
      </c>
      <c r="J198" s="255">
        <f t="shared" si="185"/>
        <v>0</v>
      </c>
      <c r="K198" s="255">
        <f t="shared" si="185"/>
        <v>0</v>
      </c>
      <c r="L198" s="258" t="e">
        <f t="shared" si="186"/>
        <v>#DIV/0!</v>
      </c>
      <c r="M198" s="259" t="e">
        <f t="shared" si="187"/>
        <v>#DIV/0!</v>
      </c>
    </row>
    <row r="199" spans="1:13" ht="15" customHeight="1">
      <c r="A199" s="80"/>
      <c r="B199" s="251" t="s">
        <v>38</v>
      </c>
      <c r="C199" s="255">
        <f t="shared" si="180"/>
        <v>0</v>
      </c>
      <c r="D199" s="255">
        <f t="shared" si="180"/>
        <v>0</v>
      </c>
      <c r="E199" s="255">
        <f t="shared" si="181"/>
        <v>0</v>
      </c>
      <c r="F199" s="256" t="e">
        <f t="shared" si="182"/>
        <v>#DIV/0!</v>
      </c>
      <c r="G199" s="255">
        <f t="shared" si="183"/>
        <v>0</v>
      </c>
      <c r="H199" s="255">
        <f t="shared" si="183"/>
        <v>0</v>
      </c>
      <c r="I199" s="257" t="e">
        <f t="shared" si="184"/>
        <v>#DIV/0!</v>
      </c>
      <c r="J199" s="255">
        <f t="shared" si="185"/>
        <v>0</v>
      </c>
      <c r="K199" s="255">
        <f t="shared" si="185"/>
        <v>0</v>
      </c>
      <c r="L199" s="258" t="e">
        <f t="shared" si="186"/>
        <v>#DIV/0!</v>
      </c>
      <c r="M199" s="259" t="e">
        <f t="shared" si="187"/>
        <v>#DIV/0!</v>
      </c>
    </row>
    <row r="200" spans="1:13" ht="15" customHeight="1">
      <c r="A200" s="80"/>
      <c r="B200" s="251" t="s">
        <v>40</v>
      </c>
      <c r="C200" s="255">
        <f t="shared" si="180"/>
        <v>0</v>
      </c>
      <c r="D200" s="255">
        <f t="shared" si="180"/>
        <v>0</v>
      </c>
      <c r="E200" s="255">
        <f t="shared" si="181"/>
        <v>0</v>
      </c>
      <c r="F200" s="256" t="e">
        <f t="shared" si="182"/>
        <v>#DIV/0!</v>
      </c>
      <c r="G200" s="255">
        <f t="shared" si="183"/>
        <v>0</v>
      </c>
      <c r="H200" s="255">
        <f t="shared" si="183"/>
        <v>0</v>
      </c>
      <c r="I200" s="257" t="e">
        <f t="shared" si="184"/>
        <v>#DIV/0!</v>
      </c>
      <c r="J200" s="255">
        <f t="shared" si="185"/>
        <v>0</v>
      </c>
      <c r="K200" s="255">
        <f t="shared" si="185"/>
        <v>0</v>
      </c>
      <c r="L200" s="258" t="e">
        <f t="shared" si="186"/>
        <v>#DIV/0!</v>
      </c>
      <c r="M200" s="259" t="e">
        <f t="shared" si="187"/>
        <v>#DIV/0!</v>
      </c>
    </row>
    <row r="201" spans="1:13" ht="15" customHeight="1">
      <c r="A201" s="80"/>
      <c r="B201" s="251" t="s">
        <v>41</v>
      </c>
      <c r="C201" s="255">
        <f t="shared" si="180"/>
        <v>0</v>
      </c>
      <c r="D201" s="255">
        <f t="shared" si="180"/>
        <v>0</v>
      </c>
      <c r="E201" s="255">
        <f t="shared" si="181"/>
        <v>0</v>
      </c>
      <c r="F201" s="256" t="e">
        <f t="shared" si="182"/>
        <v>#DIV/0!</v>
      </c>
      <c r="G201" s="255">
        <f t="shared" si="183"/>
        <v>0</v>
      </c>
      <c r="H201" s="255">
        <f t="shared" si="183"/>
        <v>0</v>
      </c>
      <c r="I201" s="257" t="e">
        <f t="shared" si="184"/>
        <v>#DIV/0!</v>
      </c>
      <c r="J201" s="255">
        <f t="shared" si="185"/>
        <v>0</v>
      </c>
      <c r="K201" s="255">
        <f t="shared" si="185"/>
        <v>0</v>
      </c>
      <c r="L201" s="258" t="e">
        <f t="shared" si="186"/>
        <v>#DIV/0!</v>
      </c>
      <c r="M201" s="259" t="e">
        <f t="shared" si="187"/>
        <v>#DIV/0!</v>
      </c>
    </row>
    <row r="202" spans="1:13" ht="15" customHeight="1">
      <c r="A202" s="80"/>
      <c r="B202" s="251" t="s">
        <v>42</v>
      </c>
      <c r="C202" s="255">
        <f t="shared" si="180"/>
        <v>0</v>
      </c>
      <c r="D202" s="255">
        <f t="shared" si="180"/>
        <v>0</v>
      </c>
      <c r="E202" s="255">
        <f t="shared" si="181"/>
        <v>0</v>
      </c>
      <c r="F202" s="256" t="e">
        <f t="shared" si="182"/>
        <v>#DIV/0!</v>
      </c>
      <c r="G202" s="255">
        <f t="shared" si="183"/>
        <v>0</v>
      </c>
      <c r="H202" s="255">
        <f t="shared" si="183"/>
        <v>0</v>
      </c>
      <c r="I202" s="257" t="e">
        <f t="shared" si="184"/>
        <v>#DIV/0!</v>
      </c>
      <c r="J202" s="255">
        <f t="shared" si="185"/>
        <v>0</v>
      </c>
      <c r="K202" s="255">
        <f t="shared" si="185"/>
        <v>0</v>
      </c>
      <c r="L202" s="258" t="e">
        <f t="shared" si="186"/>
        <v>#DIV/0!</v>
      </c>
      <c r="M202" s="259" t="e">
        <f t="shared" si="187"/>
        <v>#DIV/0!</v>
      </c>
    </row>
    <row r="203" spans="1:13" ht="15" customHeight="1">
      <c r="A203" s="80"/>
      <c r="B203" s="251"/>
      <c r="C203" s="252"/>
      <c r="D203" s="252"/>
      <c r="E203" s="252"/>
      <c r="F203" s="252"/>
      <c r="G203" s="252"/>
      <c r="H203" s="252"/>
      <c r="I203" s="252"/>
      <c r="J203" s="252"/>
      <c r="K203" s="252"/>
      <c r="L203" s="253"/>
      <c r="M203" s="260"/>
    </row>
    <row r="204" spans="1:13" ht="15.75" customHeight="1" thickBot="1">
      <c r="A204" s="80"/>
      <c r="B204" s="261" t="s">
        <v>45</v>
      </c>
      <c r="C204" s="262">
        <f t="shared" ref="C204:D204" si="188">SUM(C196:C203)</f>
        <v>0</v>
      </c>
      <c r="D204" s="262">
        <f t="shared" si="188"/>
        <v>0</v>
      </c>
      <c r="E204" s="262">
        <f t="shared" ref="E204:E208" si="189">C204-D204</f>
        <v>0</v>
      </c>
      <c r="F204" s="263" t="e">
        <f t="shared" ref="F204:F208" si="190">E204%/C204*100</f>
        <v>#DIV/0!</v>
      </c>
      <c r="G204" s="262">
        <f>SUM(G196:G203)</f>
        <v>0</v>
      </c>
      <c r="H204" s="262">
        <f>SUM(H196:H202)</f>
        <v>0</v>
      </c>
      <c r="I204" s="264" t="e">
        <f t="shared" ref="I204:I208" si="191">H204%/D204*100</f>
        <v>#DIV/0!</v>
      </c>
      <c r="J204" s="262">
        <f>SUM(J196:J203)</f>
        <v>0</v>
      </c>
      <c r="K204" s="265">
        <f>J204*11.5</f>
        <v>0</v>
      </c>
      <c r="L204" s="266" t="e">
        <f t="shared" ref="L204:L208" si="192">K204%/D204*100</f>
        <v>#DIV/0!</v>
      </c>
      <c r="M204" s="259" t="e">
        <f t="shared" ref="M204:M208" si="193">I204+L204</f>
        <v>#DIV/0!</v>
      </c>
    </row>
    <row r="205" spans="1:13" ht="15.5">
      <c r="A205" s="80"/>
      <c r="B205" s="267" t="s">
        <v>39</v>
      </c>
      <c r="C205" s="255">
        <f t="shared" ref="C205:D207" si="194">C12+C28+C44+C60+C77+C93+C109+C125+C141+C157+C173+C189</f>
        <v>0</v>
      </c>
      <c r="D205" s="255">
        <f t="shared" si="194"/>
        <v>0</v>
      </c>
      <c r="E205" s="268">
        <f t="shared" si="189"/>
        <v>0</v>
      </c>
      <c r="F205" s="269" t="e">
        <f t="shared" si="190"/>
        <v>#DIV/0!</v>
      </c>
      <c r="G205" s="255">
        <f t="shared" ref="G205:H207" si="195">G12+G28+G44+G60+G77+G93+G109+G125+G141+G157+G173+G189</f>
        <v>0</v>
      </c>
      <c r="H205" s="255">
        <f t="shared" si="195"/>
        <v>0</v>
      </c>
      <c r="I205" s="269" t="e">
        <f t="shared" si="191"/>
        <v>#DIV/0!</v>
      </c>
      <c r="J205" s="255">
        <f t="shared" ref="J205:K207" si="196">J12+J28+J44+J60+J77+J93+J109+J125+J141+J157+J173+J189</f>
        <v>0</v>
      </c>
      <c r="K205" s="255">
        <f t="shared" si="196"/>
        <v>0</v>
      </c>
      <c r="L205" s="270" t="e">
        <f t="shared" si="192"/>
        <v>#DIV/0!</v>
      </c>
      <c r="M205" s="259" t="e">
        <f t="shared" si="193"/>
        <v>#DIV/0!</v>
      </c>
    </row>
    <row r="206" spans="1:13" ht="15.5">
      <c r="A206" s="80"/>
      <c r="B206" s="251" t="s">
        <v>134</v>
      </c>
      <c r="C206" s="255">
        <f t="shared" si="194"/>
        <v>0</v>
      </c>
      <c r="D206" s="255">
        <f t="shared" si="194"/>
        <v>0</v>
      </c>
      <c r="E206" s="255">
        <f t="shared" si="189"/>
        <v>0</v>
      </c>
      <c r="F206" s="256" t="e">
        <f t="shared" si="190"/>
        <v>#DIV/0!</v>
      </c>
      <c r="G206" s="255">
        <f t="shared" si="195"/>
        <v>0</v>
      </c>
      <c r="H206" s="255">
        <f t="shared" si="195"/>
        <v>0</v>
      </c>
      <c r="I206" s="256" t="e">
        <f t="shared" si="191"/>
        <v>#DIV/0!</v>
      </c>
      <c r="J206" s="255">
        <f t="shared" si="196"/>
        <v>0</v>
      </c>
      <c r="K206" s="255">
        <f t="shared" si="196"/>
        <v>0</v>
      </c>
      <c r="L206" s="258" t="e">
        <f t="shared" si="192"/>
        <v>#DIV/0!</v>
      </c>
      <c r="M206" s="259" t="e">
        <f t="shared" si="193"/>
        <v>#DIV/0!</v>
      </c>
    </row>
    <row r="207" spans="1:13" ht="16" thickBot="1">
      <c r="A207" s="112"/>
      <c r="B207" s="271" t="s">
        <v>44</v>
      </c>
      <c r="C207" s="255">
        <f t="shared" si="194"/>
        <v>0</v>
      </c>
      <c r="D207" s="255">
        <f t="shared" si="194"/>
        <v>0</v>
      </c>
      <c r="E207" s="272">
        <f t="shared" si="189"/>
        <v>0</v>
      </c>
      <c r="F207" s="273" t="e">
        <f t="shared" si="190"/>
        <v>#DIV/0!</v>
      </c>
      <c r="G207" s="255">
        <f t="shared" si="195"/>
        <v>0</v>
      </c>
      <c r="H207" s="255">
        <f t="shared" si="195"/>
        <v>0</v>
      </c>
      <c r="I207" s="273" t="e">
        <f t="shared" si="191"/>
        <v>#DIV/0!</v>
      </c>
      <c r="J207" s="255">
        <f t="shared" si="196"/>
        <v>0</v>
      </c>
      <c r="K207" s="255">
        <f t="shared" si="196"/>
        <v>0</v>
      </c>
      <c r="L207" s="274" t="e">
        <f t="shared" si="192"/>
        <v>#DIV/0!</v>
      </c>
      <c r="M207" s="259" t="e">
        <f t="shared" si="193"/>
        <v>#DIV/0!</v>
      </c>
    </row>
    <row r="208" spans="1:13" ht="16" thickBot="1">
      <c r="A208" s="275"/>
      <c r="B208" s="276" t="s">
        <v>66</v>
      </c>
      <c r="C208" s="277">
        <f t="shared" ref="C208:D208" si="197">SUM(C204:C207)</f>
        <v>0</v>
      </c>
      <c r="D208" s="277">
        <f t="shared" si="197"/>
        <v>0</v>
      </c>
      <c r="E208" s="277">
        <f t="shared" si="189"/>
        <v>0</v>
      </c>
      <c r="F208" s="278" t="e">
        <f t="shared" si="190"/>
        <v>#DIV/0!</v>
      </c>
      <c r="G208" s="277">
        <f t="shared" ref="G208:H208" si="198">SUM(G204:G207)</f>
        <v>0</v>
      </c>
      <c r="H208" s="277">
        <f t="shared" si="198"/>
        <v>0</v>
      </c>
      <c r="I208" s="278" t="e">
        <f t="shared" si="191"/>
        <v>#DIV/0!</v>
      </c>
      <c r="J208" s="277">
        <f>SUM(J204:J207)</f>
        <v>0</v>
      </c>
      <c r="K208" s="279">
        <f>J208*13.21</f>
        <v>0</v>
      </c>
      <c r="L208" s="280" t="e">
        <f t="shared" si="192"/>
        <v>#DIV/0!</v>
      </c>
      <c r="M208" s="281" t="e">
        <f t="shared" si="193"/>
        <v>#DIV/0!</v>
      </c>
    </row>
  </sheetData>
  <mergeCells count="13">
    <mergeCell ref="A194:A207"/>
    <mergeCell ref="A98:A111"/>
    <mergeCell ref="A114:A127"/>
    <mergeCell ref="A130:A143"/>
    <mergeCell ref="A146:A159"/>
    <mergeCell ref="A162:A175"/>
    <mergeCell ref="A178:A191"/>
    <mergeCell ref="A1:A14"/>
    <mergeCell ref="A17:A30"/>
    <mergeCell ref="A33:A46"/>
    <mergeCell ref="A49:A62"/>
    <mergeCell ref="A66:A79"/>
    <mergeCell ref="A82:A95"/>
  </mergeCells>
  <pageMargins left="0.70866141732283472" right="0.70866141732283472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Jan-Dec 26</vt:lpstr>
      <vt:lpstr>Weekly 2026</vt:lpstr>
      <vt:lpstr>Monthly Sale 2026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44740</dc:creator>
  <cp:lastModifiedBy>44740</cp:lastModifiedBy>
  <dcterms:created xsi:type="dcterms:W3CDTF">2026-03-03T14:42:26Z</dcterms:created>
  <dcterms:modified xsi:type="dcterms:W3CDTF">2026-03-03T14:56:26Z</dcterms:modified>
</cp:coreProperties>
</file>